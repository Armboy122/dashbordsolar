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filterPrivacy="1" defaultThemeVersion="124226"/>
  <xr:revisionPtr revIDLastSave="0" documentId="13_ncr:1_{E44A9BBF-517C-374A-93CA-7BB6A2D76CBC}" xr6:coauthVersionLast="47" xr6:coauthVersionMax="47" xr10:uidLastSave="{00000000-0000-0000-0000-000000000000}"/>
  <bookViews>
    <workbookView xWindow="0" yWindow="680" windowWidth="34200" windowHeight="19380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</calcChain>
</file>

<file path=xl/sharedStrings.xml><?xml version="1.0" encoding="utf-8"?>
<sst xmlns="http://schemas.openxmlformats.org/spreadsheetml/2006/main" count="811" uniqueCount="165">
  <si>
    <t>Plant Report</t>
  </si>
  <si>
    <t>Plant Name</t>
  </si>
  <si>
    <t>Address</t>
  </si>
  <si>
    <t>Total String Capacity (kWp)</t>
  </si>
  <si>
    <t>Global Irradiation (kWh/㎡)</t>
  </si>
  <si>
    <t>Sun Hours (H)</t>
  </si>
  <si>
    <t>Average Temperature(°C)</t>
  </si>
  <si>
    <t>Theoretical Yield (kWh)</t>
  </si>
  <si>
    <t>PV Yield (kWh)</t>
  </si>
  <si>
    <t xml:space="preserve"> Inverter Yield (kWh)</t>
  </si>
  <si>
    <t>Export (kWh)</t>
  </si>
  <si>
    <t>Import (kWh)</t>
  </si>
  <si>
    <t>Specific Energy (kWh/kWp)</t>
  </si>
  <si>
    <t>Loss Due to Export Limitation (kWh)</t>
  </si>
  <si>
    <t>Loss Due to Export Limitation(฿)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</si>
  <si>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</si>
  <si>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</si>
  <si>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</si>
  <si>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</si>
  <si>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</si>
  <si>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</si>
  <si>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</si>
  <si>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</si>
  <si>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</si>
  <si>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(฿)</t>
  </si>
  <si>
    <t>CHN สฟฟ.จะนะ</t>
  </si>
  <si>
    <t>WQF8+V7, Tambon Ban Na, Amphoe Chana, Chang Wat Songkhla</t>
  </si>
  <si>
    <t/>
  </si>
  <si>
    <t>YRA สฟฟ.ยุพราชันย์</t>
  </si>
  <si>
    <t>R38V+GPJ ตำบล ตะเนาะแมเราะ อำเภอเบตง ยะลา 95110</t>
  </si>
  <si>
    <t>SBY สฟฟ.สะบ้าย้อย</t>
  </si>
  <si>
    <t>JWJX+R27, Tambon Saba Yoi, Amphoe Saba Yoi, Chang Wat Songkhla</t>
  </si>
  <si>
    <t>SDO สนง.กฟส.สะเดา</t>
  </si>
  <si>
    <t>J9QJ+628 ถนนปาดังเบซาร์ ตำบล สะเดา อำเภอสะเดา สงขลา 90120 ไทย</t>
  </si>
  <si>
    <t>TPH สนง.กฟส.เทพา</t>
  </si>
  <si>
    <t>ThailandThephaThepha40854085</t>
  </si>
  <si>
    <t>KGL สนง.กฟส.ควนกาหลง</t>
  </si>
  <si>
    <t>R3RQ+6X, Tambon Thung Nui, Amphoe Khuan Kalong, Chang Wat Satun</t>
  </si>
  <si>
    <t>NAT สนง.กฟส.นาทวี</t>
  </si>
  <si>
    <t>ThailandNa ThawiKhlong Sai4242</t>
  </si>
  <si>
    <t>STP สนง.กฟส.สทิงพระ</t>
  </si>
  <si>
    <t>ประเทศไทยอ.สทิงพระจะทิ้งพระ408408</t>
  </si>
  <si>
    <t>RTP สฟฟ.รัตภูมิ</t>
  </si>
  <si>
    <t>จ.สงขลารัตภูมิกำแพงเพชร188 ม.6 ตำบล  อำเภอ สงขลา 90180 ไทยอู่ คลีนิคยานยนต์ เซอร์วิส</t>
  </si>
  <si>
    <t>RTP สนง.กฟส.รัตภูมิ</t>
  </si>
  <si>
    <t>ThailandAmphoe RattaphumTha Chamuang40677 406</t>
  </si>
  <si>
    <t>NJA สฟฟ.นาทวี</t>
  </si>
  <si>
    <t>4113, Amphoe Na Thawi, Chang Wat Songkhla 90160</t>
  </si>
  <si>
    <t>HAY - สนง.กฟส.หาดใหญ่ (อาคาร 1)</t>
  </si>
  <si>
    <t>ThailandAmphoe Hat YaiHat YaiKhanap Nam Ton 1 Rd.279/8 Khanap Nam Ton 1 Rd.</t>
  </si>
  <si>
    <t>PTL-สนง.กฟจ.พัทลุง</t>
  </si>
  <si>
    <t>ประเทศไทยอ.เมืองพัทลุงนาท่อม472 4</t>
  </si>
  <si>
    <t>YAL สนง.กฟส.เมืองยะลา (คลังมิเตอร์)</t>
  </si>
  <si>
    <t>ThailandAmphoe Mueang YalaSatengSai 15 Rd.Sai 15 Rd.</t>
  </si>
  <si>
    <t>TAB สนง.กฟส.ตากใบ</t>
  </si>
  <si>
    <t>29/14 ตำบล เจ๊ะเห อำเภอ ตากใบ นราธิวาส 96110</t>
  </si>
  <si>
    <t>HYB สฟฟ.หาดใหญ่ 2</t>
  </si>
  <si>
    <t>ThailandSongkhlaAmphoe Hat YaiBan Phru90250</t>
  </si>
  <si>
    <t>RUS สนง.กฟส.รือเสาะ</t>
  </si>
  <si>
    <t>9GJ6+P5V ตำบล รือเสาะ อำเภอ รือเสาะ นราธิวาส</t>
  </si>
  <si>
    <t>JAN สนง.กฟส.จะนะ</t>
  </si>
  <si>
    <t>ThailandChana DistrictBan NaYothathikan Songkhla 2015 Road65/21 Yothathikan Songkhla 2015 Road</t>
  </si>
  <si>
    <t>TMO สนง.กฟส.ตะโหมด</t>
  </si>
  <si>
    <t>ประเทศไทยอ.ตะโหมดแม่ขรี4121554/1 4121</t>
  </si>
  <si>
    <t>PPY สนง.กฟส.ปากพะยูน</t>
  </si>
  <si>
    <t>229 หมู่ที่ 3 ถนน ปากพะยูน-หารเทา Pak Phayun, Pak Phayun District, Phatthalung 93120, Thailand</t>
  </si>
  <si>
    <t>PTB สฟฟ.ปัตตานี 2</t>
  </si>
  <si>
    <t>ประเทศไทยปัตตานีบานา94000</t>
  </si>
  <si>
    <t>KWN สนง.กฟส.ควนขนุน</t>
  </si>
  <si>
    <t>ประเทศไทยอ.ควนขนุนควนขนุน4187113 4187</t>
  </si>
  <si>
    <t>DDA สฟฟ.ด่านนอก</t>
  </si>
  <si>
    <t>HC47+JG ตำบล สำนักขาม อำเภอสะเดา สงขลา ประเทศไทย</t>
  </si>
  <si>
    <t>SHN สฟฟ.สิงหนคร</t>
  </si>
  <si>
    <t>ประเทศไทยอ.สิงหนครวัดขนุน408408</t>
  </si>
  <si>
    <t>BST สนง.กฟส.บันนังสตา</t>
  </si>
  <si>
    <t>ThailandBannang SataBannang Sata410410</t>
  </si>
  <si>
    <t>HYC สฟฟ.หาดใหญ่ 3</t>
  </si>
  <si>
    <t>156/72 Lopburi Ramesuan Frontage Rd, Amphoe Hat Yai, Chang Wat Songkhla 90110, Thailand</t>
  </si>
  <si>
    <t>LAU สฟฟ.ละงู</t>
  </si>
  <si>
    <t>จ.สตูลละงูละงู416, ตำบล  อำเภอ สตูล 91110 ไทยเคลียร์สตูดิโอ</t>
  </si>
  <si>
    <t>YHA สนง.กฟส.ยะหา</t>
  </si>
  <si>
    <t>ประเทศไทยอ.ยะหาบาโร๊ะ40774077</t>
  </si>
  <si>
    <t>HYD สฟฟ.หาดใหญ่ 4</t>
  </si>
  <si>
    <t>2F8W+VHC ตำบล หาดใหญ่ อำเภอหาดใหญ่ สงขลา 90110</t>
  </si>
  <si>
    <t>SBY สนง.กฟส.สะบ้าย้อย</t>
  </si>
  <si>
    <t>ThailandSaba YoiSaba Yoi90210</t>
  </si>
  <si>
    <t>SLA สฟฟ.สงขลา 1</t>
  </si>
  <si>
    <t>ประเทศไทยอ.เมืองสงขลาพะวง407683 407</t>
  </si>
  <si>
    <t>NTW สนง.กฟจ.นราธิวาส (ศูนย์ปฏิบัติการระบบไฟฟ้า)</t>
  </si>
  <si>
    <t>230, lumpu, ตำบล ลำภู อำเภอเมืองนราธิวาส นราธิวาส 96000</t>
  </si>
  <si>
    <t>KWN สฟฟ.ควนขนุน</t>
  </si>
  <si>
    <t>PXXH+267, Tambon Chamuang, Khuan Khanun District, Chang Wat Phatthalung</t>
  </si>
  <si>
    <t>RAM สนง.กฟส.รามัน</t>
  </si>
  <si>
    <t>ThailandRamanKayu Boko95140</t>
  </si>
  <si>
    <t>SLB สฟฟ.สงขลา 2</t>
  </si>
  <si>
    <t>ประเทศไทยอ.เมืองสงขลาเกาะแต้ว408408</t>
  </si>
  <si>
    <t>PTA สฟฟ.ปัตตานี 1</t>
  </si>
  <si>
    <t>ประเทศไทยปัตตานีตะลุโบะ94000</t>
  </si>
  <si>
    <t>LAU สนง.กฟส.ละงู</t>
  </si>
  <si>
    <t>กำแพง, ละงู 91110, ประเทศไทย427</t>
  </si>
  <si>
    <t>QBA สฟฟ.ป่าบอน</t>
  </si>
  <si>
    <t>ประเทศไทยอ.ป่าบอนวังใหม่44</t>
  </si>
  <si>
    <t>TUA สฟฟ.ทุ่งลุง</t>
  </si>
  <si>
    <t>VF89+HXQ ตำบล พะตง อำเภอหาดใหญ่ สงขลา ประเทศไทย</t>
  </si>
  <si>
    <t>PDB สนง.กฟส.ปาดังเบซาร์</t>
  </si>
  <si>
    <t>M87M+WJ8 ตำบล ปาดังเบซาร์ อำเภอสะเดา สงขลา ประเทศไทย</t>
  </si>
  <si>
    <t>ROA สฟฟ.ระโนด</t>
  </si>
  <si>
    <t>R984+9V3 408 ตำบล ท่าบอน อำเภอ ระโนด สงขลา 90140 ประเทศไทย</t>
  </si>
  <si>
    <t>KCS สนง.กฟส.เขาชัยสน</t>
  </si>
  <si>
    <t>525 หมู่ที่ 3 หมู่บ้านออกเขา, ตำบลเขาชัยสน อำเภอเขาชัยสน จังหวัดพัทลุง, 20150 Tambon Khao Chaison, Amphoe Khao Chaison, Chang Wat Phatthalung 93130, Thailand</t>
  </si>
  <si>
    <t>KOP สนง.กฟส.โคกโพธิ์</t>
  </si>
  <si>
    <t>ประเทศไทยอ.โคกโพธิ์โคกโพธิ์4242</t>
  </si>
  <si>
    <t>YLA สฟฟ.ยะลา 1</t>
  </si>
  <si>
    <t>ThailandAmphoe Mueang YalaBannang Sareng410410</t>
  </si>
  <si>
    <t>SNG สฟฟ.สุไหงโก-ลก</t>
  </si>
  <si>
    <t>ประเทศไทยอ.สุไหงโก-ลกสุไหงโก-ลก40564056</t>
  </si>
  <si>
    <t>PAL สฟฟ.พังลา</t>
  </si>
  <si>
    <t>RFC5+8P ตำบล พังลา อำเภอสะเดา สงขลา ประเทศไทย</t>
  </si>
  <si>
    <t>YLC สฟฟ.ยะลา 3</t>
  </si>
  <si>
    <t>ThailandAmphoe Mueang YalaSateng Nok40824082</t>
  </si>
  <si>
    <t>PBN สนง.กฟส.ป่าบอน</t>
  </si>
  <si>
    <t>ประเทศไทยอ.ป่าบอนวังใหม่AH2AH2</t>
  </si>
  <si>
    <t>CLU สฟฟ.ฉลุง</t>
  </si>
  <si>
    <t>จ.สงขลาหาดใหญ่ฉลุงตำบล  อำเภอ สงขลา 90110 ไทยสถานีไฟฟ้า การไฟฟ้าส่วนภูมิภาค</t>
  </si>
  <si>
    <t>MAY สนง.กฟส.มายอ</t>
  </si>
  <si>
    <t>ประเทศไทยอ.มายอลางา40614061</t>
  </si>
  <si>
    <t>RAG สนง.กฟส.ระแงะ</t>
  </si>
  <si>
    <t>ประเทศไทยอ.ระแงะตันหยงมัส40554055</t>
  </si>
  <si>
    <t>PTN สนง.กฟจ.ปัตตานี</t>
  </si>
  <si>
    <t>ประเทศไทยอ.เมืองปัตตานีต.รูสะมิแล94000</t>
  </si>
  <si>
    <t>SSK สนง.กฟย.ศรีสาคร</t>
  </si>
  <si>
    <t>6GH2+443 ตำบล ซากอ อำเภอ ศรีสาคร นราธิวาส 96210 ประเทศไทย</t>
  </si>
  <si>
    <t>ROA สนง.กฟส.ระโนด</t>
  </si>
  <si>
    <t>ประเทศไทยอ.ระโนดต.ระโนดถนนเทศบาล 14132/3 ถนนเทศบาล 14</t>
  </si>
  <si>
    <t>YNG สนง.กฟส.ยี่งอ</t>
  </si>
  <si>
    <t>จ.นราธิวาสยี่งอยี่งอ48/8 ,  96180, Таиланд48/8</t>
  </si>
  <si>
    <t>SQA สฟฟ.สะเดา 1</t>
  </si>
  <si>
    <t>JCM2+9WM ตำบล สะเดา อำเภอสะเดา สงขลา 90120 ประเทศไทย</t>
  </si>
  <si>
    <t>NTW สฟฟ.นราธิวาส</t>
  </si>
  <si>
    <t>CQCQ+CJQ ตำบล ลำภู อำเภอเมืองนราธิวาส นราธิวาส 96000</t>
  </si>
  <si>
    <t>GOA สฟฟ.คลองแงะ</t>
  </si>
  <si>
    <t>ถ.เพชรเกษม ตำบล ปริก อำเภอสะเดา สงขลา **************************************</t>
  </si>
  <si>
    <t>PTL สฟฟ.พัทลุง</t>
  </si>
  <si>
    <t>ประเทศไทยอ.เมืองพัทลุงต.นาท่อมหมู่ 164/1 หมู่ 1</t>
  </si>
  <si>
    <t>XBA สฟฟ.สายบุรี</t>
  </si>
  <si>
    <t>ประเทศไทยอ.สายบุรีตะลุบัน41574157</t>
  </si>
  <si>
    <t>SLB สฟฟ.สงขลา 2 (ศูนย์ฝึกปฎิบัติการ ระบบ SOLAR CELL)</t>
  </si>
  <si>
    <t>สำนักงาน สฟต.3 ( รอติดตั้ง Smart sonsor )</t>
  </si>
  <si>
    <t>ยะลา โคลีเซี*************</t>
  </si>
  <si>
    <t>SAT สนง.กฟจ.สตูล</t>
  </si>
  <si>
    <t>ThailandMueang Satun DistrictPhimanMuban Phiman Thani102/55 Sarit Phuminat Road</t>
  </si>
  <si>
    <t>HYA สฟฟ.หาดใหญ่ 1</t>
  </si>
  <si>
    <t>ThailandAmphoe Hat YaiHat Yai42874287</t>
  </si>
  <si>
    <t>HYE สฟฟ.หาดใหญ่ 5</t>
  </si>
  <si>
    <t>17 ราษฎร์ดำริ ซอย 1 ตำบล หาดใหญ่ อำเภอหาดใหญ่ สงขลา 90110 ประเทศไทย17 ราษฎร์ดำริ ซอย 1</t>
  </si>
  <si>
    <t>SUK สนง.กฟส.สุคิริน</t>
  </si>
  <si>
    <t>ประเทศไทยอ.สุคิรินต.มาโมงทางหลวงแผ่นดินหมายเลข 4115ทางหลวงแผ่นดินหมายเลข 4115</t>
  </si>
  <si>
    <t>TYD สนง.กฟย.ทุ่งยางแดง</t>
  </si>
  <si>
    <t>ประเทศไทยอ.ทุ่งยางแดงปากู40744074</t>
  </si>
  <si>
    <t>โหลดสำนักงาน</t>
  </si>
  <si>
    <t>จากแผง</t>
  </si>
  <si>
    <t>ใช้จากแผงได้เท่าไหร่</t>
  </si>
  <si>
    <t>เปลี่ยนเป็น 4 บาท</t>
  </si>
  <si>
    <t>ส่งขายในระบบไฟฟ้า</t>
  </si>
  <si>
    <t>ใช้ไฟ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</si>
</sst>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0.00_ "/>
    <numFmt numFmtId="188" formatCode="#,##0.000_ "/>
    <numFmt numFmtId="189" formatCode="#,##0.00_ "/>
  </numFmts>
  <fonts count="3" x14ac:knownFonts="1">
    <font>
      <sz val="11"/>
      <color theme="1"/>
      <name val="Tahoma"/>
      <family val="2"/>
      <charset val="134"/>
      <scheme val="minor"/>
    </font>
    <font>
      <sz val="9"/>
      <name val="Tahoma"/>
      <family val="2"/>
      <charset val="134"/>
      <scheme val="minor"/>
    </font>
    <font>
      <b/>
      <sz val="11"/>
      <color theme="1"/>
      <name val="Tahoma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 wrapText="1"/>
    </xf>
    <xf numFmtId="187" fontId="0" fillId="0" borderId="0" xfId="0" applyNumberFormat="1">
      <alignment vertical="center"/>
    </xf>
    <xf numFmtId="0" fontId="0" fillId="0" borderId="3" xfId="0" applyBorder="1" applyAlignment="1">
      <alignment horizontal="center" vertical="center"/>
    </xf>
    <xf numFmtId="188" fontId="0" fillId="0" borderId="3" xfId="0" applyNumberFormat="1" applyBorder="1" applyAlignment="1">
      <alignment horizontal="center" vertical="center"/>
    </xf>
    <xf numFmtId="189" fontId="0" fillId="0" borderId="3" xfId="0" applyNumberFormat="1" applyBorder="1" applyAlignment="1">
      <alignment horizontal="center" vertical="center"/>
    </xf>
    <xf numFmtId="187" fontId="2" fillId="3" borderId="0" xfId="0" applyNumberFormat="1" applyFont="1" applyFill="1" applyAlignment="1">
      <alignment horizontal="left"/>
    </xf>
    <xf numFmtId="0" fontId="2" fillId="3" borderId="2" xfId="0" applyFont="1" applyFill="1" applyBorder="1" applyAlignment="1">
      <alignment horizontal="center" vertical="center" wrapText="1"/>
    </xf>
    <xf numFmtId="188" fontId="0" fillId="3" borderId="3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87" fontId="0" fillId="3" borderId="0" xfId="0" applyNumberFormat="1" applyFill="1">
      <alignment vertical="center"/>
    </xf>
    <xf numFmtId="0" fontId="2" fillId="3" borderId="3" xfId="0" applyFont="1" applyFill="1" applyBorder="1" applyAlignment="1">
      <alignment horizontal="center" vertical="center" wrapText="1"/>
    </xf>
    <xf numFmtId="4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left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9"/>
  <sheetViews>
    <sheetView tabSelected="1" topLeftCell="H1" zoomScale="115" workbookViewId="0">
      <selection activeCell="K3" sqref="K3"/>
    </sheetView>
  </sheetViews>
  <sheetFormatPr baseColWidth="10" defaultColWidth="9" defaultRowHeight="14" x14ac:dyDescent="0.15"/>
  <cols>
    <col min="1" max="1" width="47.5" bestFit="1" customWidth="1"/>
    <col min="2" max="2" width="23.1640625" customWidth="1"/>
    <col min="3" max="8" width="23.1640625" style="2" customWidth="1"/>
    <col min="9" max="9" width="23.1640625" style="10" customWidth="1"/>
    <col min="10" max="14" width="23.1640625" style="2" customWidth="1"/>
    <col min="15" max="18" width="23.1640625" style="10" customWidth="1"/>
    <col min="19" max="25" width="23.1640625" style="2" customWidth="1"/>
  </cols>
  <sheetData>
    <row r="1" spans="1:25" ht="25" customHeight="1" x14ac:dyDescent="0.15">
      <c r="A1" s="13" t="s">
        <v>0</v>
      </c>
      <c r="B1" s="13"/>
      <c r="C1" s="13"/>
      <c r="D1" s="13"/>
      <c r="E1" s="13"/>
      <c r="F1" s="13"/>
      <c r="G1" s="13"/>
      <c r="H1" s="13"/>
      <c r="I1" s="6"/>
      <c r="J1" s="2" t="s">
        <v>163</v>
      </c>
      <c r="K1" s="2" t="s">
        <v>164</v>
      </c>
      <c r="O1" s="10" t="s">
        <v>159</v>
      </c>
      <c r="P1" s="10" t="s">
        <v>160</v>
      </c>
      <c r="R1" s="10" t="s">
        <v>161</v>
      </c>
      <c r="Y1" s="2" t="s">
        <v>162</v>
      </c>
    </row>
    <row r="2" spans="1:25" ht="40" customHeight="1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7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7" t="s">
        <v>15</v>
      </c>
      <c r="P2" s="7" t="s">
        <v>16</v>
      </c>
      <c r="Q2" s="11"/>
      <c r="R2" s="7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</row>
    <row r="3" spans="1:25" ht="25" customHeight="1" x14ac:dyDescent="0.15">
      <c r="A3" s="3" t="s">
        <v>25</v>
      </c>
      <c r="B3" s="3" t="s">
        <v>26</v>
      </c>
      <c r="C3" s="4">
        <v>20.7</v>
      </c>
      <c r="D3" s="3" t="s">
        <v>27</v>
      </c>
      <c r="E3" s="3" t="s">
        <v>27</v>
      </c>
      <c r="F3" s="3" t="s">
        <v>27</v>
      </c>
      <c r="G3" s="3" t="s">
        <v>27</v>
      </c>
      <c r="H3" s="4">
        <v>2093.81</v>
      </c>
      <c r="I3" s="8">
        <v>2093.81</v>
      </c>
      <c r="J3" s="4">
        <v>0.03</v>
      </c>
      <c r="K3" s="4">
        <v>6876.39</v>
      </c>
      <c r="L3" s="4">
        <v>101.15</v>
      </c>
      <c r="M3" s="3" t="s">
        <v>27</v>
      </c>
      <c r="N3" s="3" t="s">
        <v>27</v>
      </c>
      <c r="O3" s="8">
        <v>8970.17</v>
      </c>
      <c r="P3" s="8">
        <v>2093.7800000000002</v>
      </c>
      <c r="Q3" s="8">
        <f t="shared" ref="Q3:Q15" si="0">(P3/I3)*100</f>
        <v>99.998567205238302</v>
      </c>
      <c r="R3" s="8">
        <v>99.998999999999995</v>
      </c>
      <c r="S3" s="4">
        <v>15.717000000000001</v>
      </c>
      <c r="T3" s="3" t="s">
        <v>27</v>
      </c>
      <c r="U3" s="4">
        <v>0.995</v>
      </c>
      <c r="V3" s="4">
        <v>0.83799999999999997</v>
      </c>
      <c r="W3" s="3" t="s">
        <v>27</v>
      </c>
      <c r="X3" s="3" t="s">
        <v>27</v>
      </c>
      <c r="Y3" s="5">
        <v>10468.9</v>
      </c>
    </row>
    <row r="4" spans="1:25" ht="25" customHeight="1" x14ac:dyDescent="0.15">
      <c r="A4" s="3" t="s">
        <v>28</v>
      </c>
      <c r="B4" s="3" t="s">
        <v>29</v>
      </c>
      <c r="C4" s="4">
        <v>15.96</v>
      </c>
      <c r="D4" s="3" t="s">
        <v>27</v>
      </c>
      <c r="E4" s="3" t="s">
        <v>27</v>
      </c>
      <c r="F4" s="3" t="s">
        <v>27</v>
      </c>
      <c r="G4" s="3" t="s">
        <v>27</v>
      </c>
      <c r="H4" s="4">
        <v>1855.29</v>
      </c>
      <c r="I4" s="8">
        <v>1855.29</v>
      </c>
      <c r="J4" s="4">
        <v>140.13</v>
      </c>
      <c r="K4" s="4">
        <v>5650.47</v>
      </c>
      <c r="L4" s="4">
        <v>116.246</v>
      </c>
      <c r="M4" s="3" t="s">
        <v>27</v>
      </c>
      <c r="N4" s="12"/>
      <c r="O4" s="8">
        <v>7365.63</v>
      </c>
      <c r="P4" s="8">
        <v>1715.16</v>
      </c>
      <c r="Q4" s="8">
        <f t="shared" si="0"/>
        <v>92.447002894426205</v>
      </c>
      <c r="R4" s="8">
        <v>92.447000000000003</v>
      </c>
      <c r="S4" s="4">
        <v>15.614000000000001</v>
      </c>
      <c r="T4" s="3" t="s">
        <v>27</v>
      </c>
      <c r="U4" s="4">
        <v>0.88100000000000001</v>
      </c>
      <c r="V4" s="4">
        <v>0.74199999999999999</v>
      </c>
      <c r="W4" s="3" t="s">
        <v>27</v>
      </c>
      <c r="X4" s="3" t="s">
        <v>27</v>
      </c>
      <c r="Y4" s="5">
        <v>8575.7999999999993</v>
      </c>
    </row>
    <row r="5" spans="1:25" ht="25" customHeight="1" x14ac:dyDescent="0.15">
      <c r="A5" s="3" t="s">
        <v>30</v>
      </c>
      <c r="B5" s="3" t="s">
        <v>31</v>
      </c>
      <c r="C5" s="4">
        <v>20.7</v>
      </c>
      <c r="D5" s="3" t="s">
        <v>27</v>
      </c>
      <c r="E5" s="3" t="s">
        <v>27</v>
      </c>
      <c r="F5" s="3" t="s">
        <v>27</v>
      </c>
      <c r="G5" s="3" t="s">
        <v>27</v>
      </c>
      <c r="H5" s="4">
        <v>1823.3</v>
      </c>
      <c r="I5" s="8">
        <v>1823.3</v>
      </c>
      <c r="J5" s="4">
        <v>0.88</v>
      </c>
      <c r="K5" s="4">
        <v>5552.04</v>
      </c>
      <c r="L5" s="4">
        <v>88.081999999999994</v>
      </c>
      <c r="M5" s="3" t="s">
        <v>27</v>
      </c>
      <c r="N5" s="3" t="s">
        <v>27</v>
      </c>
      <c r="O5" s="8">
        <v>7374.46</v>
      </c>
      <c r="P5" s="8">
        <v>1822.42</v>
      </c>
      <c r="Q5" s="8">
        <f t="shared" si="0"/>
        <v>99.95173586354413</v>
      </c>
      <c r="R5" s="8">
        <v>99.951999999999998</v>
      </c>
      <c r="S5" s="4">
        <v>11.925000000000001</v>
      </c>
      <c r="T5" s="3" t="s">
        <v>27</v>
      </c>
      <c r="U5" s="4">
        <v>0.86599999999999999</v>
      </c>
      <c r="V5" s="4">
        <v>0.72899999999999998</v>
      </c>
      <c r="W5" s="3" t="s">
        <v>27</v>
      </c>
      <c r="X5" s="3" t="s">
        <v>27</v>
      </c>
      <c r="Y5" s="5">
        <v>9112.1</v>
      </c>
    </row>
    <row r="6" spans="1:25" ht="25" customHeight="1" x14ac:dyDescent="0.15">
      <c r="A6" s="3" t="s">
        <v>32</v>
      </c>
      <c r="B6" s="3" t="s">
        <v>33</v>
      </c>
      <c r="C6" s="4">
        <v>15.39</v>
      </c>
      <c r="D6" s="3" t="s">
        <v>27</v>
      </c>
      <c r="E6" s="3" t="s">
        <v>27</v>
      </c>
      <c r="F6" s="3" t="s">
        <v>27</v>
      </c>
      <c r="G6" s="3" t="s">
        <v>27</v>
      </c>
      <c r="H6" s="4">
        <v>1813.31</v>
      </c>
      <c r="I6" s="8">
        <v>1813.31</v>
      </c>
      <c r="J6" s="4">
        <v>90.67</v>
      </c>
      <c r="K6" s="4">
        <v>8026.65</v>
      </c>
      <c r="L6" s="4">
        <v>117.824</v>
      </c>
      <c r="M6" s="3" t="s">
        <v>27</v>
      </c>
      <c r="N6" s="3" t="s">
        <v>27</v>
      </c>
      <c r="O6" s="8">
        <v>9749.2900000000009</v>
      </c>
      <c r="P6" s="8">
        <v>1722.64</v>
      </c>
      <c r="Q6" s="8">
        <f t="shared" si="0"/>
        <v>94.999751835042005</v>
      </c>
      <c r="R6" s="8">
        <v>95</v>
      </c>
      <c r="S6" s="4">
        <v>15.234999999999999</v>
      </c>
      <c r="T6" s="3" t="s">
        <v>27</v>
      </c>
      <c r="U6" s="4">
        <v>0.86099999999999999</v>
      </c>
      <c r="V6" s="4">
        <v>0.72499999999999998</v>
      </c>
      <c r="W6" s="3" t="s">
        <v>27</v>
      </c>
      <c r="X6" s="3" t="s">
        <v>27</v>
      </c>
      <c r="Y6" s="5">
        <v>9066.5499999999993</v>
      </c>
    </row>
    <row r="7" spans="1:25" ht="25" customHeight="1" x14ac:dyDescent="0.15">
      <c r="A7" s="3" t="s">
        <v>34</v>
      </c>
      <c r="B7" s="3" t="s">
        <v>35</v>
      </c>
      <c r="C7" s="4">
        <v>15.4</v>
      </c>
      <c r="D7" s="3" t="s">
        <v>27</v>
      </c>
      <c r="E7" s="3" t="s">
        <v>27</v>
      </c>
      <c r="F7" s="3" t="s">
        <v>27</v>
      </c>
      <c r="G7" s="3" t="s">
        <v>27</v>
      </c>
      <c r="H7" s="4">
        <v>1787.66</v>
      </c>
      <c r="I7" s="8">
        <v>1787.66</v>
      </c>
      <c r="J7" s="4">
        <v>299.76</v>
      </c>
      <c r="K7" s="4">
        <v>2207.5500000000002</v>
      </c>
      <c r="L7" s="4">
        <v>116.08199999999999</v>
      </c>
      <c r="M7" s="3" t="s">
        <v>27</v>
      </c>
      <c r="N7" s="3" t="s">
        <v>27</v>
      </c>
      <c r="O7" s="8">
        <v>3695.45</v>
      </c>
      <c r="P7" s="8">
        <v>1487.9</v>
      </c>
      <c r="Q7" s="8">
        <f t="shared" si="0"/>
        <v>83.231710727990787</v>
      </c>
      <c r="R7" s="8">
        <v>83.231999999999999</v>
      </c>
      <c r="S7" s="4">
        <v>14.159000000000001</v>
      </c>
      <c r="T7" s="3" t="s">
        <v>27</v>
      </c>
      <c r="U7" s="4">
        <v>0.84899999999999998</v>
      </c>
      <c r="V7" s="4">
        <v>0.71499999999999997</v>
      </c>
      <c r="W7" s="3" t="s">
        <v>27</v>
      </c>
      <c r="X7" s="3" t="s">
        <v>27</v>
      </c>
      <c r="Y7" s="3" t="s">
        <v>27</v>
      </c>
    </row>
    <row r="8" spans="1:25" ht="25" customHeight="1" x14ac:dyDescent="0.15">
      <c r="A8" s="3" t="s">
        <v>36</v>
      </c>
      <c r="B8" s="3" t="s">
        <v>37</v>
      </c>
      <c r="C8" s="4">
        <v>16.239999999999998</v>
      </c>
      <c r="D8" s="3" t="s">
        <v>27</v>
      </c>
      <c r="E8" s="3" t="s">
        <v>27</v>
      </c>
      <c r="F8" s="3" t="s">
        <v>27</v>
      </c>
      <c r="G8" s="3" t="s">
        <v>27</v>
      </c>
      <c r="H8" s="4">
        <v>1768.52</v>
      </c>
      <c r="I8" s="8">
        <v>1768.52</v>
      </c>
      <c r="J8" s="4">
        <v>0.09</v>
      </c>
      <c r="K8" s="4">
        <v>2903.32</v>
      </c>
      <c r="L8" s="4">
        <v>108.899</v>
      </c>
      <c r="M8" s="3" t="s">
        <v>27</v>
      </c>
      <c r="N8" s="3" t="s">
        <v>27</v>
      </c>
      <c r="O8" s="8">
        <v>4671.75</v>
      </c>
      <c r="P8" s="8">
        <v>1768.43</v>
      </c>
      <c r="Q8" s="8">
        <f t="shared" si="0"/>
        <v>99.994910999027439</v>
      </c>
      <c r="R8" s="8">
        <v>99.995000000000005</v>
      </c>
      <c r="S8" s="4">
        <v>15.143000000000001</v>
      </c>
      <c r="T8" s="3" t="s">
        <v>27</v>
      </c>
      <c r="U8" s="4">
        <v>0.84</v>
      </c>
      <c r="V8" s="4">
        <v>0.70699999999999996</v>
      </c>
      <c r="W8" s="3" t="s">
        <v>27</v>
      </c>
      <c r="X8" s="3" t="s">
        <v>27</v>
      </c>
      <c r="Y8" s="5">
        <v>8842.6</v>
      </c>
    </row>
    <row r="9" spans="1:25" ht="25" customHeight="1" x14ac:dyDescent="0.15">
      <c r="A9" s="3" t="s">
        <v>38</v>
      </c>
      <c r="B9" s="3" t="s">
        <v>39</v>
      </c>
      <c r="C9" s="4">
        <v>15.525</v>
      </c>
      <c r="D9" s="3" t="s">
        <v>27</v>
      </c>
      <c r="E9" s="3" t="s">
        <v>27</v>
      </c>
      <c r="F9" s="3" t="s">
        <v>27</v>
      </c>
      <c r="G9" s="3" t="s">
        <v>27</v>
      </c>
      <c r="H9" s="4">
        <v>1708.34</v>
      </c>
      <c r="I9" s="8">
        <v>1708.34</v>
      </c>
      <c r="J9" s="4">
        <v>62.41</v>
      </c>
      <c r="K9" s="4">
        <v>957.83</v>
      </c>
      <c r="L9" s="4">
        <v>110.038</v>
      </c>
      <c r="M9" s="3" t="s">
        <v>27</v>
      </c>
      <c r="N9" s="3" t="s">
        <v>27</v>
      </c>
      <c r="O9" s="8">
        <v>2603.7600000000002</v>
      </c>
      <c r="P9" s="8">
        <v>1645.93</v>
      </c>
      <c r="Q9" s="8">
        <f t="shared" si="0"/>
        <v>96.346745963918195</v>
      </c>
      <c r="R9" s="8">
        <v>96.346999999999994</v>
      </c>
      <c r="S9" s="4">
        <v>15.294</v>
      </c>
      <c r="T9" s="3" t="s">
        <v>27</v>
      </c>
      <c r="U9" s="4">
        <v>0.81100000000000005</v>
      </c>
      <c r="V9" s="4">
        <v>0.68300000000000005</v>
      </c>
      <c r="W9" s="3" t="s">
        <v>27</v>
      </c>
      <c r="X9" s="3" t="s">
        <v>27</v>
      </c>
      <c r="Y9" s="5">
        <v>7687.53</v>
      </c>
    </row>
    <row r="10" spans="1:25" ht="25" customHeight="1" x14ac:dyDescent="0.15">
      <c r="A10" s="3" t="s">
        <v>40</v>
      </c>
      <c r="B10" s="3" t="s">
        <v>41</v>
      </c>
      <c r="C10" s="4">
        <v>15.08</v>
      </c>
      <c r="D10" s="3" t="s">
        <v>27</v>
      </c>
      <c r="E10" s="3" t="s">
        <v>27</v>
      </c>
      <c r="F10" s="3" t="s">
        <v>27</v>
      </c>
      <c r="G10" s="3" t="s">
        <v>27</v>
      </c>
      <c r="H10" s="4">
        <v>1656.22</v>
      </c>
      <c r="I10" s="8">
        <v>1656.22</v>
      </c>
      <c r="J10" s="4">
        <v>0.05</v>
      </c>
      <c r="K10" s="4">
        <v>1498.94</v>
      </c>
      <c r="L10" s="4">
        <v>109.82899999999999</v>
      </c>
      <c r="M10" s="3" t="s">
        <v>27</v>
      </c>
      <c r="N10" s="3" t="s">
        <v>27</v>
      </c>
      <c r="O10" s="8">
        <v>3155.11</v>
      </c>
      <c r="P10" s="8">
        <v>1656.17</v>
      </c>
      <c r="Q10" s="8">
        <f t="shared" si="0"/>
        <v>99.996981077393102</v>
      </c>
      <c r="R10" s="8">
        <v>99.997</v>
      </c>
      <c r="S10" s="4">
        <v>14.696999999999999</v>
      </c>
      <c r="T10" s="3" t="s">
        <v>27</v>
      </c>
      <c r="U10" s="4">
        <v>0.78700000000000003</v>
      </c>
      <c r="V10" s="4">
        <v>0.66200000000000003</v>
      </c>
      <c r="W10" s="3" t="s">
        <v>27</v>
      </c>
      <c r="X10" s="3" t="s">
        <v>27</v>
      </c>
      <c r="Y10" s="5">
        <v>8281.1</v>
      </c>
    </row>
    <row r="11" spans="1:25" ht="25" customHeight="1" x14ac:dyDescent="0.15">
      <c r="A11" s="3" t="s">
        <v>42</v>
      </c>
      <c r="B11" s="3" t="s">
        <v>43</v>
      </c>
      <c r="C11" s="4">
        <v>15.96</v>
      </c>
      <c r="D11" s="3" t="s">
        <v>27</v>
      </c>
      <c r="E11" s="3" t="s">
        <v>27</v>
      </c>
      <c r="F11" s="3" t="s">
        <v>27</v>
      </c>
      <c r="G11" s="3" t="s">
        <v>27</v>
      </c>
      <c r="H11" s="4">
        <v>1622.17</v>
      </c>
      <c r="I11" s="8">
        <v>1622.17</v>
      </c>
      <c r="J11" s="4">
        <v>3.81</v>
      </c>
      <c r="K11" s="4">
        <v>8678.93</v>
      </c>
      <c r="L11" s="4">
        <v>101.64</v>
      </c>
      <c r="M11" s="3" t="s">
        <v>27</v>
      </c>
      <c r="N11" s="3" t="s">
        <v>27</v>
      </c>
      <c r="O11" s="8">
        <v>10297.290000000001</v>
      </c>
      <c r="P11" s="8">
        <v>1618.36</v>
      </c>
      <c r="Q11" s="8">
        <f t="shared" si="0"/>
        <v>99.765129425399294</v>
      </c>
      <c r="R11" s="8">
        <v>99.765000000000001</v>
      </c>
      <c r="S11" s="4">
        <v>14.885999999999999</v>
      </c>
      <c r="T11" s="3" t="s">
        <v>27</v>
      </c>
      <c r="U11" s="4">
        <v>0.77100000000000002</v>
      </c>
      <c r="V11" s="4">
        <v>0.64900000000000002</v>
      </c>
      <c r="W11" s="3" t="s">
        <v>27</v>
      </c>
      <c r="X11" s="3" t="s">
        <v>27</v>
      </c>
      <c r="Y11" s="5">
        <v>8091.8</v>
      </c>
    </row>
    <row r="12" spans="1:25" ht="25" customHeight="1" x14ac:dyDescent="0.15">
      <c r="A12" s="3" t="s">
        <v>44</v>
      </c>
      <c r="B12" s="3" t="s">
        <v>45</v>
      </c>
      <c r="C12" s="4">
        <v>17.29</v>
      </c>
      <c r="D12" s="3" t="s">
        <v>27</v>
      </c>
      <c r="E12" s="3" t="s">
        <v>27</v>
      </c>
      <c r="F12" s="3" t="s">
        <v>27</v>
      </c>
      <c r="G12" s="3" t="s">
        <v>27</v>
      </c>
      <c r="H12" s="4">
        <v>1618.76</v>
      </c>
      <c r="I12" s="8">
        <v>1618.76</v>
      </c>
      <c r="J12" s="4">
        <v>0.01</v>
      </c>
      <c r="K12" s="4">
        <v>4035.99</v>
      </c>
      <c r="L12" s="4">
        <v>93.623999999999995</v>
      </c>
      <c r="M12" s="3" t="s">
        <v>27</v>
      </c>
      <c r="N12" s="3" t="s">
        <v>27</v>
      </c>
      <c r="O12" s="8">
        <v>5654.74</v>
      </c>
      <c r="P12" s="8">
        <v>1618.75</v>
      </c>
      <c r="Q12" s="8">
        <f t="shared" si="0"/>
        <v>99.999382243198497</v>
      </c>
      <c r="R12" s="8">
        <v>99.998999999999995</v>
      </c>
      <c r="S12" s="4">
        <v>15.417999999999999</v>
      </c>
      <c r="T12" s="3" t="s">
        <v>27</v>
      </c>
      <c r="U12" s="4">
        <v>0.76900000000000002</v>
      </c>
      <c r="V12" s="4">
        <v>0.64800000000000002</v>
      </c>
      <c r="W12" s="3" t="s">
        <v>27</v>
      </c>
      <c r="X12" s="3" t="s">
        <v>27</v>
      </c>
      <c r="Y12" s="5">
        <v>0.05</v>
      </c>
    </row>
    <row r="13" spans="1:25" ht="25" customHeight="1" x14ac:dyDescent="0.15">
      <c r="A13" s="3" t="s">
        <v>46</v>
      </c>
      <c r="B13" s="3" t="s">
        <v>47</v>
      </c>
      <c r="C13" s="4">
        <v>20.7</v>
      </c>
      <c r="D13" s="3" t="s">
        <v>27</v>
      </c>
      <c r="E13" s="3" t="s">
        <v>27</v>
      </c>
      <c r="F13" s="3" t="s">
        <v>27</v>
      </c>
      <c r="G13" s="3" t="s">
        <v>27</v>
      </c>
      <c r="H13" s="4">
        <v>1560.23</v>
      </c>
      <c r="I13" s="8">
        <v>1560.23</v>
      </c>
      <c r="J13" s="4">
        <v>0.02</v>
      </c>
      <c r="K13" s="4">
        <v>4517.42</v>
      </c>
      <c r="L13" s="4">
        <v>75.373000000000005</v>
      </c>
      <c r="M13" s="3" t="s">
        <v>27</v>
      </c>
      <c r="N13" s="3" t="s">
        <v>27</v>
      </c>
      <c r="O13" s="8">
        <v>6077.63</v>
      </c>
      <c r="P13" s="8">
        <v>1560.21</v>
      </c>
      <c r="Q13" s="8">
        <f t="shared" si="0"/>
        <v>99.998718137710469</v>
      </c>
      <c r="R13" s="8">
        <v>99.998999999999995</v>
      </c>
      <c r="S13" s="4">
        <v>10.548</v>
      </c>
      <c r="T13" s="3" t="s">
        <v>27</v>
      </c>
      <c r="U13" s="4">
        <v>0.74099999999999999</v>
      </c>
      <c r="V13" s="4">
        <v>0.624</v>
      </c>
      <c r="W13" s="3" t="s">
        <v>27</v>
      </c>
      <c r="X13" s="3" t="s">
        <v>27</v>
      </c>
      <c r="Y13" s="5">
        <v>7801.15</v>
      </c>
    </row>
    <row r="14" spans="1:25" ht="25" customHeight="1" x14ac:dyDescent="0.15">
      <c r="A14" s="3" t="s">
        <v>48</v>
      </c>
      <c r="B14" s="3" t="s">
        <v>49</v>
      </c>
      <c r="C14" s="4">
        <v>15.96</v>
      </c>
      <c r="D14" s="3" t="s">
        <v>27</v>
      </c>
      <c r="E14" s="3" t="s">
        <v>27</v>
      </c>
      <c r="F14" s="3" t="s">
        <v>27</v>
      </c>
      <c r="G14" s="3" t="s">
        <v>27</v>
      </c>
      <c r="H14" s="4">
        <v>1536.64</v>
      </c>
      <c r="I14" s="8">
        <v>1536.64</v>
      </c>
      <c r="J14" s="4">
        <v>0.03</v>
      </c>
      <c r="K14" s="4">
        <v>11148.22</v>
      </c>
      <c r="L14" s="4">
        <v>96.281000000000006</v>
      </c>
      <c r="M14" s="3" t="s">
        <v>27</v>
      </c>
      <c r="N14" s="3" t="s">
        <v>27</v>
      </c>
      <c r="O14" s="8">
        <v>12684.83</v>
      </c>
      <c r="P14" s="8">
        <v>1536.61</v>
      </c>
      <c r="Q14" s="8">
        <f t="shared" si="0"/>
        <v>99.998047688463132</v>
      </c>
      <c r="R14" s="8">
        <v>99.998000000000005</v>
      </c>
      <c r="S14" s="4">
        <v>14.053000000000001</v>
      </c>
      <c r="T14" s="3" t="s">
        <v>27</v>
      </c>
      <c r="U14" s="4">
        <v>0.73</v>
      </c>
      <c r="V14" s="4">
        <v>0.61499999999999999</v>
      </c>
      <c r="W14" s="3" t="s">
        <v>27</v>
      </c>
      <c r="X14" s="3" t="s">
        <v>27</v>
      </c>
      <c r="Y14" s="5">
        <v>0.12</v>
      </c>
    </row>
    <row r="15" spans="1:25" ht="25" customHeight="1" x14ac:dyDescent="0.15">
      <c r="A15" s="3" t="s">
        <v>50</v>
      </c>
      <c r="B15" s="3" t="s">
        <v>51</v>
      </c>
      <c r="C15" s="4">
        <v>15.525</v>
      </c>
      <c r="D15" s="3" t="s">
        <v>27</v>
      </c>
      <c r="E15" s="3" t="s">
        <v>27</v>
      </c>
      <c r="F15" s="3" t="s">
        <v>27</v>
      </c>
      <c r="G15" s="3" t="s">
        <v>27</v>
      </c>
      <c r="H15" s="4">
        <v>1473.46</v>
      </c>
      <c r="I15" s="8">
        <v>1473.46</v>
      </c>
      <c r="J15" s="4">
        <v>68.33</v>
      </c>
      <c r="K15" s="4">
        <v>12898.33</v>
      </c>
      <c r="L15" s="4">
        <v>94.909000000000006</v>
      </c>
      <c r="M15" s="3" t="s">
        <v>27</v>
      </c>
      <c r="N15" s="3" t="s">
        <v>27</v>
      </c>
      <c r="O15" s="8">
        <v>14303.46</v>
      </c>
      <c r="P15" s="8">
        <v>1405.13</v>
      </c>
      <c r="Q15" s="8">
        <f t="shared" si="0"/>
        <v>95.362615883702304</v>
      </c>
      <c r="R15" s="8">
        <v>95.363</v>
      </c>
      <c r="S15" s="4">
        <v>20.216999999999999</v>
      </c>
      <c r="T15" s="3" t="s">
        <v>27</v>
      </c>
      <c r="U15" s="4">
        <v>0.7</v>
      </c>
      <c r="V15" s="4">
        <v>0.58899999999999997</v>
      </c>
      <c r="W15" s="3" t="s">
        <v>27</v>
      </c>
      <c r="X15" s="3" t="s">
        <v>27</v>
      </c>
      <c r="Y15" s="3" t="s">
        <v>27</v>
      </c>
    </row>
    <row r="16" spans="1:25" ht="25" customHeight="1" x14ac:dyDescent="0.15">
      <c r="A16" s="3" t="s">
        <v>52</v>
      </c>
      <c r="B16" s="3" t="s">
        <v>53</v>
      </c>
      <c r="C16" s="4">
        <v>15.39</v>
      </c>
      <c r="D16" s="3" t="s">
        <v>27</v>
      </c>
      <c r="E16" s="3" t="s">
        <v>27</v>
      </c>
      <c r="F16" s="3" t="s">
        <v>27</v>
      </c>
      <c r="G16" s="3" t="s">
        <v>27</v>
      </c>
      <c r="H16" s="4">
        <v>1472.22</v>
      </c>
      <c r="I16" s="8">
        <v>1472.22</v>
      </c>
      <c r="J16" s="4">
        <v>844.05</v>
      </c>
      <c r="K16" s="4">
        <v>326.64999999999998</v>
      </c>
      <c r="L16" s="4">
        <v>95.661000000000001</v>
      </c>
      <c r="M16" s="3" t="s">
        <v>27</v>
      </c>
      <c r="N16" s="3" t="s">
        <v>27</v>
      </c>
      <c r="O16" s="8">
        <v>954.82</v>
      </c>
      <c r="P16" s="8">
        <v>628.16999999999996</v>
      </c>
      <c r="Q16" s="8">
        <f>(P16/I16)*100</f>
        <v>42.668215348249575</v>
      </c>
      <c r="R16" s="8">
        <v>42.667999999999999</v>
      </c>
      <c r="S16" s="4">
        <v>14.065</v>
      </c>
      <c r="T16" s="3" t="s">
        <v>27</v>
      </c>
      <c r="U16" s="4">
        <v>0.69899999999999995</v>
      </c>
      <c r="V16" s="4">
        <v>0.58899999999999997</v>
      </c>
      <c r="W16" s="3" t="s">
        <v>27</v>
      </c>
      <c r="X16" s="3" t="s">
        <v>27</v>
      </c>
      <c r="Y16" s="3" t="s">
        <v>27</v>
      </c>
    </row>
    <row r="17" spans="1:25" ht="25" customHeight="1" x14ac:dyDescent="0.15">
      <c r="A17" s="3" t="s">
        <v>54</v>
      </c>
      <c r="B17" s="3" t="s">
        <v>55</v>
      </c>
      <c r="C17" s="4">
        <v>15.96</v>
      </c>
      <c r="D17" s="3" t="s">
        <v>27</v>
      </c>
      <c r="E17" s="3" t="s">
        <v>27</v>
      </c>
      <c r="F17" s="3" t="s">
        <v>27</v>
      </c>
      <c r="G17" s="3" t="s">
        <v>27</v>
      </c>
      <c r="H17" s="4">
        <v>1420.93</v>
      </c>
      <c r="I17" s="8">
        <v>1420.93</v>
      </c>
      <c r="J17" s="4">
        <v>0.06</v>
      </c>
      <c r="K17" s="4">
        <v>2217.91</v>
      </c>
      <c r="L17" s="4">
        <v>89.031000000000006</v>
      </c>
      <c r="M17" s="3" t="s">
        <v>27</v>
      </c>
      <c r="N17" s="3" t="s">
        <v>27</v>
      </c>
      <c r="O17" s="8">
        <v>3638.78</v>
      </c>
      <c r="P17" s="8">
        <v>1420.87</v>
      </c>
      <c r="Q17" s="8"/>
      <c r="R17" s="8">
        <v>99.995999999999995</v>
      </c>
      <c r="S17" s="4">
        <v>14.162000000000001</v>
      </c>
      <c r="T17" s="3" t="s">
        <v>27</v>
      </c>
      <c r="U17" s="4">
        <v>0.67500000000000004</v>
      </c>
      <c r="V17" s="4">
        <v>0.56799999999999995</v>
      </c>
      <c r="W17" s="3" t="s">
        <v>27</v>
      </c>
      <c r="X17" s="3" t="s">
        <v>27</v>
      </c>
      <c r="Y17" s="5">
        <v>7104.35</v>
      </c>
    </row>
    <row r="18" spans="1:25" ht="25" customHeight="1" x14ac:dyDescent="0.15">
      <c r="A18" s="3" t="s">
        <v>56</v>
      </c>
      <c r="B18" s="3" t="s">
        <v>57</v>
      </c>
      <c r="C18" s="4">
        <v>15.39</v>
      </c>
      <c r="D18" s="3" t="s">
        <v>27</v>
      </c>
      <c r="E18" s="3" t="s">
        <v>27</v>
      </c>
      <c r="F18" s="3" t="s">
        <v>27</v>
      </c>
      <c r="G18" s="3" t="s">
        <v>27</v>
      </c>
      <c r="H18" s="4">
        <v>1389.76</v>
      </c>
      <c r="I18" s="8">
        <v>1389.76</v>
      </c>
      <c r="J18" s="4">
        <v>0.03</v>
      </c>
      <c r="K18" s="4">
        <v>6441.17</v>
      </c>
      <c r="L18" s="4">
        <v>90.302999999999997</v>
      </c>
      <c r="M18" s="3" t="s">
        <v>27</v>
      </c>
      <c r="N18" s="3" t="s">
        <v>27</v>
      </c>
      <c r="O18" s="8">
        <v>7830.9</v>
      </c>
      <c r="P18" s="8">
        <v>1389.73</v>
      </c>
      <c r="Q18" s="8"/>
      <c r="R18" s="8">
        <v>99.998000000000005</v>
      </c>
      <c r="S18" s="4">
        <v>10.077</v>
      </c>
      <c r="T18" s="3" t="s">
        <v>27</v>
      </c>
      <c r="U18" s="4">
        <v>0.66</v>
      </c>
      <c r="V18" s="4">
        <v>0.55600000000000005</v>
      </c>
      <c r="W18" s="3" t="s">
        <v>27</v>
      </c>
      <c r="X18" s="3" t="s">
        <v>27</v>
      </c>
      <c r="Y18" s="5">
        <v>6948.65</v>
      </c>
    </row>
    <row r="19" spans="1:25" ht="25" customHeight="1" x14ac:dyDescent="0.15">
      <c r="A19" s="3" t="s">
        <v>58</v>
      </c>
      <c r="B19" s="3" t="s">
        <v>59</v>
      </c>
      <c r="C19" s="4">
        <v>15.96</v>
      </c>
      <c r="D19" s="3" t="s">
        <v>27</v>
      </c>
      <c r="E19" s="3" t="s">
        <v>27</v>
      </c>
      <c r="F19" s="3" t="s">
        <v>27</v>
      </c>
      <c r="G19" s="3" t="s">
        <v>27</v>
      </c>
      <c r="H19" s="4">
        <v>1385.57</v>
      </c>
      <c r="I19" s="8">
        <v>1385.57</v>
      </c>
      <c r="J19" s="4">
        <v>60.61</v>
      </c>
      <c r="K19" s="4">
        <v>25217.87</v>
      </c>
      <c r="L19" s="4">
        <v>86.814999999999998</v>
      </c>
      <c r="M19" s="3" t="s">
        <v>27</v>
      </c>
      <c r="N19" s="3" t="s">
        <v>27</v>
      </c>
      <c r="O19" s="8">
        <v>26542.83</v>
      </c>
      <c r="P19" s="8">
        <v>1324.96</v>
      </c>
      <c r="Q19" s="8"/>
      <c r="R19" s="8">
        <v>95.626000000000005</v>
      </c>
      <c r="S19" s="4">
        <v>15.414999999999999</v>
      </c>
      <c r="T19" s="3" t="s">
        <v>27</v>
      </c>
      <c r="U19" s="4">
        <v>0.65800000000000003</v>
      </c>
      <c r="V19" s="4">
        <v>0.55400000000000005</v>
      </c>
      <c r="W19" s="3" t="s">
        <v>27</v>
      </c>
      <c r="X19" s="3" t="s">
        <v>27</v>
      </c>
      <c r="Y19" s="3" t="s">
        <v>27</v>
      </c>
    </row>
    <row r="20" spans="1:25" ht="25" customHeight="1" x14ac:dyDescent="0.15">
      <c r="A20" s="3" t="s">
        <v>60</v>
      </c>
      <c r="B20" s="3" t="s">
        <v>61</v>
      </c>
      <c r="C20" s="4">
        <v>20.8</v>
      </c>
      <c r="D20" s="3" t="s">
        <v>27</v>
      </c>
      <c r="E20" s="3" t="s">
        <v>27</v>
      </c>
      <c r="F20" s="3" t="s">
        <v>27</v>
      </c>
      <c r="G20" s="3" t="s">
        <v>27</v>
      </c>
      <c r="H20" s="4">
        <v>1342.97</v>
      </c>
      <c r="I20" s="8">
        <v>1342.97</v>
      </c>
      <c r="J20" s="3" t="s">
        <v>27</v>
      </c>
      <c r="K20" s="3" t="s">
        <v>27</v>
      </c>
      <c r="L20" s="4">
        <v>64.566000000000003</v>
      </c>
      <c r="M20" s="3" t="s">
        <v>27</v>
      </c>
      <c r="N20" s="3" t="s">
        <v>27</v>
      </c>
      <c r="O20" s="9" t="s">
        <v>27</v>
      </c>
      <c r="P20" s="9" t="s">
        <v>27</v>
      </c>
      <c r="Q20" s="9"/>
      <c r="R20" s="9" t="s">
        <v>27</v>
      </c>
      <c r="S20" s="4">
        <v>18.245000000000001</v>
      </c>
      <c r="T20" s="3" t="s">
        <v>27</v>
      </c>
      <c r="U20" s="4">
        <v>0.63800000000000001</v>
      </c>
      <c r="V20" s="4">
        <v>0.53700000000000003</v>
      </c>
      <c r="W20" s="3" t="s">
        <v>27</v>
      </c>
      <c r="X20" s="3" t="s">
        <v>27</v>
      </c>
      <c r="Y20" s="5">
        <v>6043.37</v>
      </c>
    </row>
    <row r="21" spans="1:25" ht="25" customHeight="1" x14ac:dyDescent="0.15">
      <c r="A21" s="3" t="s">
        <v>62</v>
      </c>
      <c r="B21" s="3" t="s">
        <v>63</v>
      </c>
      <c r="C21" s="4">
        <v>15.4</v>
      </c>
      <c r="D21" s="3" t="s">
        <v>27</v>
      </c>
      <c r="E21" s="3" t="s">
        <v>27</v>
      </c>
      <c r="F21" s="3" t="s">
        <v>27</v>
      </c>
      <c r="G21" s="3" t="s">
        <v>27</v>
      </c>
      <c r="H21" s="4">
        <v>1342.32</v>
      </c>
      <c r="I21" s="8">
        <v>1342.32</v>
      </c>
      <c r="J21" s="4">
        <v>0.01</v>
      </c>
      <c r="K21" s="4">
        <v>2762.52</v>
      </c>
      <c r="L21" s="4">
        <v>87.164000000000001</v>
      </c>
      <c r="M21" s="3" t="s">
        <v>27</v>
      </c>
      <c r="N21" s="3" t="s">
        <v>27</v>
      </c>
      <c r="O21" s="8">
        <v>4104.83</v>
      </c>
      <c r="P21" s="8">
        <v>1342.31</v>
      </c>
      <c r="Q21" s="8"/>
      <c r="R21" s="8">
        <v>99.998999999999995</v>
      </c>
      <c r="S21" s="4">
        <v>14.412000000000001</v>
      </c>
      <c r="T21" s="3" t="s">
        <v>27</v>
      </c>
      <c r="U21" s="4">
        <v>0.63800000000000001</v>
      </c>
      <c r="V21" s="4">
        <v>0.53700000000000003</v>
      </c>
      <c r="W21" s="3" t="s">
        <v>27</v>
      </c>
      <c r="X21" s="3" t="s">
        <v>27</v>
      </c>
      <c r="Y21" s="3" t="s">
        <v>27</v>
      </c>
    </row>
    <row r="22" spans="1:25" ht="25" customHeight="1" x14ac:dyDescent="0.15">
      <c r="A22" s="3" t="s">
        <v>64</v>
      </c>
      <c r="B22" s="3" t="s">
        <v>65</v>
      </c>
      <c r="C22" s="4">
        <v>15.4</v>
      </c>
      <c r="D22" s="3" t="s">
        <v>27</v>
      </c>
      <c r="E22" s="3" t="s">
        <v>27</v>
      </c>
      <c r="F22" s="3" t="s">
        <v>27</v>
      </c>
      <c r="G22" s="3" t="s">
        <v>27</v>
      </c>
      <c r="H22" s="4">
        <v>1332.46</v>
      </c>
      <c r="I22" s="8">
        <v>1332.46</v>
      </c>
      <c r="J22" s="4">
        <v>0.04</v>
      </c>
      <c r="K22" s="4">
        <v>2333.41</v>
      </c>
      <c r="L22" s="4">
        <v>86.522999999999996</v>
      </c>
      <c r="M22" s="3" t="s">
        <v>27</v>
      </c>
      <c r="N22" s="3" t="s">
        <v>27</v>
      </c>
      <c r="O22" s="8">
        <v>3665.83</v>
      </c>
      <c r="P22" s="8">
        <v>1332.42</v>
      </c>
      <c r="Q22" s="8"/>
      <c r="R22" s="8">
        <v>99.997</v>
      </c>
      <c r="S22" s="4">
        <v>13.513</v>
      </c>
      <c r="T22" s="3" t="s">
        <v>27</v>
      </c>
      <c r="U22" s="4">
        <v>0.63300000000000001</v>
      </c>
      <c r="V22" s="4">
        <v>0.53300000000000003</v>
      </c>
      <c r="W22" s="3" t="s">
        <v>27</v>
      </c>
      <c r="X22" s="3" t="s">
        <v>27</v>
      </c>
      <c r="Y22" s="3" t="s">
        <v>27</v>
      </c>
    </row>
    <row r="23" spans="1:25" ht="25" customHeight="1" x14ac:dyDescent="0.15">
      <c r="A23" s="3" t="s">
        <v>66</v>
      </c>
      <c r="B23" s="3" t="s">
        <v>67</v>
      </c>
      <c r="C23" s="4">
        <v>15.66</v>
      </c>
      <c r="D23" s="3" t="s">
        <v>27</v>
      </c>
      <c r="E23" s="3" t="s">
        <v>27</v>
      </c>
      <c r="F23" s="3" t="s">
        <v>27</v>
      </c>
      <c r="G23" s="3" t="s">
        <v>27</v>
      </c>
      <c r="H23" s="4">
        <v>1328.26</v>
      </c>
      <c r="I23" s="8">
        <v>1328.26</v>
      </c>
      <c r="J23" s="4">
        <v>0.02</v>
      </c>
      <c r="K23" s="4">
        <v>5709.32</v>
      </c>
      <c r="L23" s="4">
        <v>84.819000000000003</v>
      </c>
      <c r="M23" s="3" t="s">
        <v>27</v>
      </c>
      <c r="N23" s="3" t="s">
        <v>27</v>
      </c>
      <c r="O23" s="8">
        <v>7037.56</v>
      </c>
      <c r="P23" s="8">
        <v>1328.24</v>
      </c>
      <c r="Q23" s="8"/>
      <c r="R23" s="8">
        <v>99.998000000000005</v>
      </c>
      <c r="S23" s="4">
        <v>9.2629999999999999</v>
      </c>
      <c r="T23" s="3" t="s">
        <v>27</v>
      </c>
      <c r="U23" s="4">
        <v>0.63100000000000001</v>
      </c>
      <c r="V23" s="4">
        <v>0.53100000000000003</v>
      </c>
      <c r="W23" s="3" t="s">
        <v>27</v>
      </c>
      <c r="X23" s="3" t="s">
        <v>27</v>
      </c>
      <c r="Y23" s="5">
        <v>6000.45</v>
      </c>
    </row>
    <row r="24" spans="1:25" ht="25" customHeight="1" x14ac:dyDescent="0.15">
      <c r="A24" s="3" t="s">
        <v>68</v>
      </c>
      <c r="B24" s="3" t="s">
        <v>69</v>
      </c>
      <c r="C24" s="4">
        <v>15.4</v>
      </c>
      <c r="D24" s="3" t="s">
        <v>27</v>
      </c>
      <c r="E24" s="3" t="s">
        <v>27</v>
      </c>
      <c r="F24" s="3" t="s">
        <v>27</v>
      </c>
      <c r="G24" s="3" t="s">
        <v>27</v>
      </c>
      <c r="H24" s="4">
        <v>1315.57</v>
      </c>
      <c r="I24" s="8">
        <v>1315.57</v>
      </c>
      <c r="J24" s="4">
        <v>0.18</v>
      </c>
      <c r="K24" s="4">
        <v>2134.35</v>
      </c>
      <c r="L24" s="4">
        <v>85.427000000000007</v>
      </c>
      <c r="M24" s="3" t="s">
        <v>27</v>
      </c>
      <c r="N24" s="3" t="s">
        <v>27</v>
      </c>
      <c r="O24" s="8">
        <v>3449.74</v>
      </c>
      <c r="P24" s="8">
        <v>1315.39</v>
      </c>
      <c r="Q24" s="8"/>
      <c r="R24" s="8">
        <v>99.986000000000004</v>
      </c>
      <c r="S24" s="4">
        <v>14.484999999999999</v>
      </c>
      <c r="T24" s="3" t="s">
        <v>27</v>
      </c>
      <c r="U24" s="4">
        <v>0.625</v>
      </c>
      <c r="V24" s="4">
        <v>0.52600000000000002</v>
      </c>
      <c r="W24" s="3" t="s">
        <v>27</v>
      </c>
      <c r="X24" s="3" t="s">
        <v>27</v>
      </c>
      <c r="Y24" s="5">
        <v>6576.95</v>
      </c>
    </row>
    <row r="25" spans="1:25" ht="25" customHeight="1" x14ac:dyDescent="0.15">
      <c r="A25" s="3" t="s">
        <v>70</v>
      </c>
      <c r="B25" s="3" t="s">
        <v>71</v>
      </c>
      <c r="C25" s="4">
        <v>15.525</v>
      </c>
      <c r="D25" s="3" t="s">
        <v>27</v>
      </c>
      <c r="E25" s="3" t="s">
        <v>27</v>
      </c>
      <c r="F25" s="3" t="s">
        <v>27</v>
      </c>
      <c r="G25" s="3" t="s">
        <v>27</v>
      </c>
      <c r="H25" s="4">
        <v>1292.69</v>
      </c>
      <c r="I25" s="8">
        <v>1292.69</v>
      </c>
      <c r="J25" s="4">
        <v>0.05</v>
      </c>
      <c r="K25" s="4">
        <v>3722.56</v>
      </c>
      <c r="L25" s="4">
        <v>83.265000000000001</v>
      </c>
      <c r="M25" s="3" t="s">
        <v>27</v>
      </c>
      <c r="N25" s="3" t="s">
        <v>27</v>
      </c>
      <c r="O25" s="8">
        <v>5015.2</v>
      </c>
      <c r="P25" s="8">
        <v>1292.6400000000001</v>
      </c>
      <c r="Q25" s="8"/>
      <c r="R25" s="8">
        <v>99.995999999999995</v>
      </c>
      <c r="S25" s="4">
        <v>11.265000000000001</v>
      </c>
      <c r="T25" s="3" t="s">
        <v>27</v>
      </c>
      <c r="U25" s="4">
        <v>0.61399999999999999</v>
      </c>
      <c r="V25" s="4">
        <v>0.51700000000000002</v>
      </c>
      <c r="W25" s="3" t="s">
        <v>27</v>
      </c>
      <c r="X25" s="3" t="s">
        <v>27</v>
      </c>
      <c r="Y25" s="5">
        <v>6463.2</v>
      </c>
    </row>
    <row r="26" spans="1:25" ht="25" customHeight="1" x14ac:dyDescent="0.15">
      <c r="A26" s="3" t="s">
        <v>72</v>
      </c>
      <c r="B26" s="3" t="s">
        <v>73</v>
      </c>
      <c r="C26" s="4">
        <v>10.26</v>
      </c>
      <c r="D26" s="3" t="s">
        <v>27</v>
      </c>
      <c r="E26" s="3" t="s">
        <v>27</v>
      </c>
      <c r="F26" s="3" t="s">
        <v>27</v>
      </c>
      <c r="G26" s="3" t="s">
        <v>27</v>
      </c>
      <c r="H26" s="4">
        <v>1248.67</v>
      </c>
      <c r="I26" s="8">
        <v>1248.67</v>
      </c>
      <c r="J26" s="4">
        <v>0</v>
      </c>
      <c r="K26" s="4">
        <v>2901.57</v>
      </c>
      <c r="L26" s="4">
        <v>121.703</v>
      </c>
      <c r="M26" s="3" t="s">
        <v>27</v>
      </c>
      <c r="N26" s="3" t="s">
        <v>27</v>
      </c>
      <c r="O26" s="8">
        <v>4150.24</v>
      </c>
      <c r="P26" s="8">
        <v>1248.67</v>
      </c>
      <c r="Q26" s="8"/>
      <c r="R26" s="8">
        <v>100</v>
      </c>
      <c r="S26" s="4">
        <v>8.532</v>
      </c>
      <c r="T26" s="3" t="s">
        <v>27</v>
      </c>
      <c r="U26" s="4">
        <v>0.59299999999999997</v>
      </c>
      <c r="V26" s="4">
        <v>0.499</v>
      </c>
      <c r="W26" s="3" t="s">
        <v>27</v>
      </c>
      <c r="X26" s="3" t="s">
        <v>27</v>
      </c>
      <c r="Y26" s="5">
        <v>6243.35</v>
      </c>
    </row>
    <row r="27" spans="1:25" ht="25" customHeight="1" x14ac:dyDescent="0.15">
      <c r="A27" s="3" t="s">
        <v>74</v>
      </c>
      <c r="B27" s="3" t="s">
        <v>75</v>
      </c>
      <c r="C27" s="4">
        <v>15.4</v>
      </c>
      <c r="D27" s="3" t="s">
        <v>27</v>
      </c>
      <c r="E27" s="3" t="s">
        <v>27</v>
      </c>
      <c r="F27" s="3" t="s">
        <v>27</v>
      </c>
      <c r="G27" s="3" t="s">
        <v>27</v>
      </c>
      <c r="H27" s="4">
        <v>1234.47</v>
      </c>
      <c r="I27" s="8">
        <v>1234.47</v>
      </c>
      <c r="J27" s="4">
        <v>241.52</v>
      </c>
      <c r="K27" s="4">
        <v>2946.37</v>
      </c>
      <c r="L27" s="4">
        <v>80.16</v>
      </c>
      <c r="M27" s="3" t="s">
        <v>27</v>
      </c>
      <c r="N27" s="3" t="s">
        <v>27</v>
      </c>
      <c r="O27" s="8">
        <v>3939.32</v>
      </c>
      <c r="P27" s="8">
        <v>992.95</v>
      </c>
      <c r="Q27" s="8"/>
      <c r="R27" s="8">
        <v>80.435000000000002</v>
      </c>
      <c r="S27" s="4">
        <v>14.182</v>
      </c>
      <c r="T27" s="3" t="s">
        <v>27</v>
      </c>
      <c r="U27" s="4">
        <v>0.58599999999999997</v>
      </c>
      <c r="V27" s="4">
        <v>0.49399999999999999</v>
      </c>
      <c r="W27" s="3" t="s">
        <v>27</v>
      </c>
      <c r="X27" s="3" t="s">
        <v>27</v>
      </c>
      <c r="Y27" s="5">
        <v>7406.82</v>
      </c>
    </row>
    <row r="28" spans="1:25" ht="25" customHeight="1" x14ac:dyDescent="0.15">
      <c r="A28" s="3" t="s">
        <v>76</v>
      </c>
      <c r="B28" s="3" t="s">
        <v>77</v>
      </c>
      <c r="C28" s="4">
        <v>10.26</v>
      </c>
      <c r="D28" s="3" t="s">
        <v>27</v>
      </c>
      <c r="E28" s="3" t="s">
        <v>27</v>
      </c>
      <c r="F28" s="3" t="s">
        <v>27</v>
      </c>
      <c r="G28" s="3" t="s">
        <v>27</v>
      </c>
      <c r="H28" s="4">
        <v>1177.29</v>
      </c>
      <c r="I28" s="8">
        <v>1177.29</v>
      </c>
      <c r="J28" s="4">
        <v>0.04</v>
      </c>
      <c r="K28" s="4">
        <v>5302.95</v>
      </c>
      <c r="L28" s="4">
        <v>114.746</v>
      </c>
      <c r="M28" s="3" t="s">
        <v>27</v>
      </c>
      <c r="N28" s="3" t="s">
        <v>27</v>
      </c>
      <c r="O28" s="8">
        <v>6480.2</v>
      </c>
      <c r="P28" s="8">
        <v>1177.25</v>
      </c>
      <c r="Q28" s="8"/>
      <c r="R28" s="8">
        <v>99.997</v>
      </c>
      <c r="S28" s="4">
        <v>9.5069999999999997</v>
      </c>
      <c r="T28" s="3" t="s">
        <v>27</v>
      </c>
      <c r="U28" s="4">
        <v>0.55900000000000005</v>
      </c>
      <c r="V28" s="4">
        <v>0.47099999999999997</v>
      </c>
      <c r="W28" s="3" t="s">
        <v>27</v>
      </c>
      <c r="X28" s="3" t="s">
        <v>27</v>
      </c>
      <c r="Y28" s="3" t="s">
        <v>27</v>
      </c>
    </row>
    <row r="29" spans="1:25" ht="25" customHeight="1" x14ac:dyDescent="0.15">
      <c r="A29" s="3" t="s">
        <v>78</v>
      </c>
      <c r="B29" s="3" t="s">
        <v>79</v>
      </c>
      <c r="C29" s="4">
        <v>10.44</v>
      </c>
      <c r="D29" s="3" t="s">
        <v>27</v>
      </c>
      <c r="E29" s="3" t="s">
        <v>27</v>
      </c>
      <c r="F29" s="3" t="s">
        <v>27</v>
      </c>
      <c r="G29" s="3" t="s">
        <v>27</v>
      </c>
      <c r="H29" s="4">
        <v>1147.44</v>
      </c>
      <c r="I29" s="8">
        <v>1147.44</v>
      </c>
      <c r="J29" s="4">
        <v>0.01</v>
      </c>
      <c r="K29" s="4">
        <v>3820.2</v>
      </c>
      <c r="L29" s="4">
        <v>109.908</v>
      </c>
      <c r="M29" s="3" t="s">
        <v>27</v>
      </c>
      <c r="N29" s="3" t="s">
        <v>27</v>
      </c>
      <c r="O29" s="8">
        <v>4967.63</v>
      </c>
      <c r="P29" s="8">
        <v>1147.43</v>
      </c>
      <c r="Q29" s="8"/>
      <c r="R29" s="8">
        <v>99.998999999999995</v>
      </c>
      <c r="S29" s="4">
        <v>8.3729999999999993</v>
      </c>
      <c r="T29" s="3" t="s">
        <v>27</v>
      </c>
      <c r="U29" s="4">
        <v>0.54500000000000004</v>
      </c>
      <c r="V29" s="4">
        <v>0.45900000000000002</v>
      </c>
      <c r="W29" s="3" t="s">
        <v>27</v>
      </c>
      <c r="X29" s="3" t="s">
        <v>27</v>
      </c>
      <c r="Y29" s="5">
        <v>6884.64</v>
      </c>
    </row>
    <row r="30" spans="1:25" ht="25" customHeight="1" x14ac:dyDescent="0.15">
      <c r="A30" s="3" t="s">
        <v>80</v>
      </c>
      <c r="B30" s="3" t="s">
        <v>81</v>
      </c>
      <c r="C30" s="4">
        <v>11</v>
      </c>
      <c r="D30" s="3" t="s">
        <v>27</v>
      </c>
      <c r="E30" s="3" t="s">
        <v>27</v>
      </c>
      <c r="F30" s="3" t="s">
        <v>27</v>
      </c>
      <c r="G30" s="3" t="s">
        <v>27</v>
      </c>
      <c r="H30" s="4">
        <v>1135.9100000000001</v>
      </c>
      <c r="I30" s="8">
        <v>1135.9100000000001</v>
      </c>
      <c r="J30" s="4">
        <v>151.25</v>
      </c>
      <c r="K30" s="4">
        <v>1622.7</v>
      </c>
      <c r="L30" s="4">
        <v>103.265</v>
      </c>
      <c r="M30" s="3" t="s">
        <v>27</v>
      </c>
      <c r="N30" s="3" t="s">
        <v>27</v>
      </c>
      <c r="O30" s="8">
        <v>2607.36</v>
      </c>
      <c r="P30" s="8">
        <v>984.66</v>
      </c>
      <c r="Q30" s="8"/>
      <c r="R30" s="8">
        <v>86.685000000000002</v>
      </c>
      <c r="S30" s="4">
        <v>10.162000000000001</v>
      </c>
      <c r="T30" s="3" t="s">
        <v>27</v>
      </c>
      <c r="U30" s="4">
        <v>0.54</v>
      </c>
      <c r="V30" s="4">
        <v>0.45400000000000001</v>
      </c>
      <c r="W30" s="3" t="s">
        <v>27</v>
      </c>
      <c r="X30" s="3" t="s">
        <v>27</v>
      </c>
      <c r="Y30" s="5">
        <v>6815.46</v>
      </c>
    </row>
    <row r="31" spans="1:25" ht="25" customHeight="1" x14ac:dyDescent="0.15">
      <c r="A31" s="3" t="s">
        <v>82</v>
      </c>
      <c r="B31" s="3" t="s">
        <v>83</v>
      </c>
      <c r="C31" s="4">
        <v>10.26</v>
      </c>
      <c r="D31" s="3" t="s">
        <v>27</v>
      </c>
      <c r="E31" s="3" t="s">
        <v>27</v>
      </c>
      <c r="F31" s="3" t="s">
        <v>27</v>
      </c>
      <c r="G31" s="3" t="s">
        <v>27</v>
      </c>
      <c r="H31" s="4">
        <v>1121.44</v>
      </c>
      <c r="I31" s="8">
        <v>1121.44</v>
      </c>
      <c r="J31" s="4">
        <v>0.02</v>
      </c>
      <c r="K31" s="4">
        <v>6258.27</v>
      </c>
      <c r="L31" s="4">
        <v>109.30200000000001</v>
      </c>
      <c r="M31" s="3" t="s">
        <v>27</v>
      </c>
      <c r="N31" s="3" t="s">
        <v>27</v>
      </c>
      <c r="O31" s="8">
        <v>7379.69</v>
      </c>
      <c r="P31" s="8">
        <v>1121.42</v>
      </c>
      <c r="Q31" s="8"/>
      <c r="R31" s="8">
        <v>99.998000000000005</v>
      </c>
      <c r="S31" s="4">
        <v>9.6460000000000008</v>
      </c>
      <c r="T31" s="3" t="s">
        <v>27</v>
      </c>
      <c r="U31" s="4">
        <v>0.53300000000000003</v>
      </c>
      <c r="V31" s="4">
        <v>0.44900000000000001</v>
      </c>
      <c r="W31" s="3" t="s">
        <v>27</v>
      </c>
      <c r="X31" s="3" t="s">
        <v>27</v>
      </c>
      <c r="Y31" s="5">
        <v>5607.1</v>
      </c>
    </row>
    <row r="32" spans="1:25" ht="25" customHeight="1" x14ac:dyDescent="0.15">
      <c r="A32" s="3" t="s">
        <v>84</v>
      </c>
      <c r="B32" s="3" t="s">
        <v>85</v>
      </c>
      <c r="C32" s="4">
        <v>15.4</v>
      </c>
      <c r="D32" s="3" t="s">
        <v>27</v>
      </c>
      <c r="E32" s="3" t="s">
        <v>27</v>
      </c>
      <c r="F32" s="3" t="s">
        <v>27</v>
      </c>
      <c r="G32" s="3" t="s">
        <v>27</v>
      </c>
      <c r="H32" s="4">
        <v>1118.68</v>
      </c>
      <c r="I32" s="8">
        <v>1118.68</v>
      </c>
      <c r="J32" s="4">
        <v>0.04</v>
      </c>
      <c r="K32" s="4">
        <v>2315.89</v>
      </c>
      <c r="L32" s="4">
        <v>72.641999999999996</v>
      </c>
      <c r="M32" s="3" t="s">
        <v>27</v>
      </c>
      <c r="N32" s="3" t="s">
        <v>27</v>
      </c>
      <c r="O32" s="8">
        <v>3434.53</v>
      </c>
      <c r="P32" s="8">
        <v>1118.6400000000001</v>
      </c>
      <c r="Q32" s="8"/>
      <c r="R32" s="8">
        <v>99.995999999999995</v>
      </c>
      <c r="S32" s="4">
        <v>13.377000000000001</v>
      </c>
      <c r="T32" s="3" t="s">
        <v>27</v>
      </c>
      <c r="U32" s="4">
        <v>0.53100000000000003</v>
      </c>
      <c r="V32" s="4">
        <v>0.44700000000000001</v>
      </c>
      <c r="W32" s="3" t="s">
        <v>27</v>
      </c>
      <c r="X32" s="3" t="s">
        <v>27</v>
      </c>
      <c r="Y32" s="3" t="s">
        <v>27</v>
      </c>
    </row>
    <row r="33" spans="1:25" ht="25" customHeight="1" x14ac:dyDescent="0.15">
      <c r="A33" s="3" t="s">
        <v>86</v>
      </c>
      <c r="B33" s="3" t="s">
        <v>87</v>
      </c>
      <c r="C33" s="4">
        <v>10.26</v>
      </c>
      <c r="D33" s="3" t="s">
        <v>27</v>
      </c>
      <c r="E33" s="3" t="s">
        <v>27</v>
      </c>
      <c r="F33" s="3" t="s">
        <v>27</v>
      </c>
      <c r="G33" s="3" t="s">
        <v>27</v>
      </c>
      <c r="H33" s="4">
        <v>1112.49</v>
      </c>
      <c r="I33" s="8">
        <v>1112.49</v>
      </c>
      <c r="J33" s="4">
        <v>0</v>
      </c>
      <c r="K33" s="4">
        <v>4762.01</v>
      </c>
      <c r="L33" s="4">
        <v>108.43</v>
      </c>
      <c r="M33" s="3" t="s">
        <v>27</v>
      </c>
      <c r="N33" s="3" t="s">
        <v>27</v>
      </c>
      <c r="O33" s="8">
        <v>5874.5</v>
      </c>
      <c r="P33" s="8">
        <v>1112.49</v>
      </c>
      <c r="Q33" s="8"/>
      <c r="R33" s="8">
        <v>100</v>
      </c>
      <c r="S33" s="4">
        <v>9.73</v>
      </c>
      <c r="T33" s="3" t="s">
        <v>27</v>
      </c>
      <c r="U33" s="4">
        <v>0.52800000000000002</v>
      </c>
      <c r="V33" s="4">
        <v>0.44500000000000001</v>
      </c>
      <c r="W33" s="3" t="s">
        <v>27</v>
      </c>
      <c r="X33" s="3" t="s">
        <v>27</v>
      </c>
      <c r="Y33" s="5">
        <v>5562.45</v>
      </c>
    </row>
    <row r="34" spans="1:25" ht="25" customHeight="1" x14ac:dyDescent="0.15">
      <c r="A34" s="3" t="s">
        <v>88</v>
      </c>
      <c r="B34" s="3" t="s">
        <v>89</v>
      </c>
      <c r="C34" s="4">
        <v>10.26</v>
      </c>
      <c r="D34" s="3" t="s">
        <v>27</v>
      </c>
      <c r="E34" s="3" t="s">
        <v>27</v>
      </c>
      <c r="F34" s="3" t="s">
        <v>27</v>
      </c>
      <c r="G34" s="3" t="s">
        <v>27</v>
      </c>
      <c r="H34" s="4">
        <v>1107.4000000000001</v>
      </c>
      <c r="I34" s="8">
        <v>1107.4000000000001</v>
      </c>
      <c r="J34" s="4">
        <v>0</v>
      </c>
      <c r="K34" s="4">
        <v>10847.69</v>
      </c>
      <c r="L34" s="4">
        <v>107.934</v>
      </c>
      <c r="M34" s="3" t="s">
        <v>27</v>
      </c>
      <c r="N34" s="3" t="s">
        <v>27</v>
      </c>
      <c r="O34" s="8">
        <v>11955.09</v>
      </c>
      <c r="P34" s="8">
        <v>1107.4000000000001</v>
      </c>
      <c r="Q34" s="8"/>
      <c r="R34" s="8">
        <v>100</v>
      </c>
      <c r="S34" s="4">
        <v>9.5050000000000008</v>
      </c>
      <c r="T34" s="3" t="s">
        <v>27</v>
      </c>
      <c r="U34" s="4">
        <v>0.52600000000000002</v>
      </c>
      <c r="V34" s="4">
        <v>0.443</v>
      </c>
      <c r="W34" s="3" t="s">
        <v>27</v>
      </c>
      <c r="X34" s="3" t="s">
        <v>27</v>
      </c>
      <c r="Y34" s="5">
        <v>5537</v>
      </c>
    </row>
    <row r="35" spans="1:25" ht="25" customHeight="1" x14ac:dyDescent="0.15">
      <c r="A35" s="3" t="s">
        <v>90</v>
      </c>
      <c r="B35" s="3" t="s">
        <v>91</v>
      </c>
      <c r="C35" s="4">
        <v>10.35</v>
      </c>
      <c r="D35" s="3" t="s">
        <v>27</v>
      </c>
      <c r="E35" s="3" t="s">
        <v>27</v>
      </c>
      <c r="F35" s="3" t="s">
        <v>27</v>
      </c>
      <c r="G35" s="3" t="s">
        <v>27</v>
      </c>
      <c r="H35" s="4">
        <v>1050.54</v>
      </c>
      <c r="I35" s="8">
        <v>1050.54</v>
      </c>
      <c r="J35" s="4">
        <v>0.02</v>
      </c>
      <c r="K35" s="4">
        <v>5023.7700000000004</v>
      </c>
      <c r="L35" s="4">
        <v>101.501</v>
      </c>
      <c r="M35" s="3" t="s">
        <v>27</v>
      </c>
      <c r="N35" s="3" t="s">
        <v>27</v>
      </c>
      <c r="O35" s="8">
        <v>6074.29</v>
      </c>
      <c r="P35" s="8">
        <v>1050.52</v>
      </c>
      <c r="Q35" s="8"/>
      <c r="R35" s="8">
        <v>99.998000000000005</v>
      </c>
      <c r="S35" s="4">
        <v>8.1159999999999997</v>
      </c>
      <c r="T35" s="3" t="s">
        <v>27</v>
      </c>
      <c r="U35" s="4">
        <v>0.499</v>
      </c>
      <c r="V35" s="4">
        <v>0.42</v>
      </c>
      <c r="W35" s="3" t="s">
        <v>27</v>
      </c>
      <c r="X35" s="3" t="s">
        <v>27</v>
      </c>
      <c r="Y35" s="5">
        <v>5252.6</v>
      </c>
    </row>
    <row r="36" spans="1:25" ht="25" customHeight="1" x14ac:dyDescent="0.15">
      <c r="A36" s="3" t="s">
        <v>92</v>
      </c>
      <c r="B36" s="3" t="s">
        <v>93</v>
      </c>
      <c r="C36" s="4">
        <v>10.26</v>
      </c>
      <c r="D36" s="3" t="s">
        <v>27</v>
      </c>
      <c r="E36" s="3" t="s">
        <v>27</v>
      </c>
      <c r="F36" s="3" t="s">
        <v>27</v>
      </c>
      <c r="G36" s="3" t="s">
        <v>27</v>
      </c>
      <c r="H36" s="4">
        <v>1034.92</v>
      </c>
      <c r="I36" s="8">
        <v>1034.92</v>
      </c>
      <c r="J36" s="4">
        <v>154.49</v>
      </c>
      <c r="K36" s="4">
        <v>1780.57</v>
      </c>
      <c r="L36" s="4">
        <v>100.869</v>
      </c>
      <c r="M36" s="3" t="s">
        <v>27</v>
      </c>
      <c r="N36" s="3" t="s">
        <v>27</v>
      </c>
      <c r="O36" s="8">
        <v>2661</v>
      </c>
      <c r="P36" s="8">
        <v>880.43</v>
      </c>
      <c r="Q36" s="8"/>
      <c r="R36" s="8">
        <v>85.072000000000003</v>
      </c>
      <c r="S36" s="4">
        <v>9.4689999999999994</v>
      </c>
      <c r="T36" s="3" t="s">
        <v>27</v>
      </c>
      <c r="U36" s="4">
        <v>0.49199999999999999</v>
      </c>
      <c r="V36" s="4">
        <v>0.41399999999999998</v>
      </c>
      <c r="W36" s="3" t="s">
        <v>27</v>
      </c>
      <c r="X36" s="3" t="s">
        <v>27</v>
      </c>
      <c r="Y36" s="3" t="s">
        <v>27</v>
      </c>
    </row>
    <row r="37" spans="1:25" ht="25" customHeight="1" x14ac:dyDescent="0.15">
      <c r="A37" s="3" t="s">
        <v>94</v>
      </c>
      <c r="B37" s="3" t="s">
        <v>95</v>
      </c>
      <c r="C37" s="4">
        <v>10.26</v>
      </c>
      <c r="D37" s="3" t="s">
        <v>27</v>
      </c>
      <c r="E37" s="3" t="s">
        <v>27</v>
      </c>
      <c r="F37" s="3" t="s">
        <v>27</v>
      </c>
      <c r="G37" s="3" t="s">
        <v>27</v>
      </c>
      <c r="H37" s="4">
        <v>1017.46</v>
      </c>
      <c r="I37" s="8">
        <v>1017.46</v>
      </c>
      <c r="J37" s="4">
        <v>0.05</v>
      </c>
      <c r="K37" s="4">
        <v>6054.47</v>
      </c>
      <c r="L37" s="4">
        <v>99.168000000000006</v>
      </c>
      <c r="M37" s="3" t="s">
        <v>27</v>
      </c>
      <c r="N37" s="3" t="s">
        <v>27</v>
      </c>
      <c r="O37" s="8">
        <v>7071.88</v>
      </c>
      <c r="P37" s="8">
        <v>1017.41</v>
      </c>
      <c r="Q37" s="8"/>
      <c r="R37" s="8">
        <v>99.995000000000005</v>
      </c>
      <c r="S37" s="4">
        <v>8.4789999999999992</v>
      </c>
      <c r="T37" s="3" t="s">
        <v>27</v>
      </c>
      <c r="U37" s="4">
        <v>0.48299999999999998</v>
      </c>
      <c r="V37" s="4">
        <v>0.40699999999999997</v>
      </c>
      <c r="W37" s="3" t="s">
        <v>27</v>
      </c>
      <c r="X37" s="3" t="s">
        <v>27</v>
      </c>
      <c r="Y37" s="5">
        <v>5087.05</v>
      </c>
    </row>
    <row r="38" spans="1:25" ht="25" customHeight="1" x14ac:dyDescent="0.15">
      <c r="A38" s="3" t="s">
        <v>96</v>
      </c>
      <c r="B38" s="3" t="s">
        <v>97</v>
      </c>
      <c r="C38" s="4">
        <v>10.26</v>
      </c>
      <c r="D38" s="3" t="s">
        <v>27</v>
      </c>
      <c r="E38" s="3" t="s">
        <v>27</v>
      </c>
      <c r="F38" s="3" t="s">
        <v>27</v>
      </c>
      <c r="G38" s="3" t="s">
        <v>27</v>
      </c>
      <c r="H38" s="4">
        <v>1009.33</v>
      </c>
      <c r="I38" s="8">
        <v>1009.33</v>
      </c>
      <c r="J38" s="4">
        <v>0.01</v>
      </c>
      <c r="K38" s="4">
        <v>2968.47</v>
      </c>
      <c r="L38" s="4">
        <v>98.375</v>
      </c>
      <c r="M38" s="3" t="s">
        <v>27</v>
      </c>
      <c r="N38" s="3" t="s">
        <v>27</v>
      </c>
      <c r="O38" s="8">
        <v>3977.79</v>
      </c>
      <c r="P38" s="8">
        <v>1009.32</v>
      </c>
      <c r="Q38" s="8"/>
      <c r="R38" s="8">
        <v>99.998999999999995</v>
      </c>
      <c r="S38" s="4">
        <v>7.2240000000000002</v>
      </c>
      <c r="T38" s="3" t="s">
        <v>27</v>
      </c>
      <c r="U38" s="4">
        <v>0.47899999999999998</v>
      </c>
      <c r="V38" s="4">
        <v>0.40400000000000003</v>
      </c>
      <c r="W38" s="3" t="s">
        <v>27</v>
      </c>
      <c r="X38" s="3" t="s">
        <v>27</v>
      </c>
      <c r="Y38" s="5">
        <v>5046.6499999999996</v>
      </c>
    </row>
    <row r="39" spans="1:25" ht="25" customHeight="1" x14ac:dyDescent="0.15">
      <c r="A39" s="3" t="s">
        <v>98</v>
      </c>
      <c r="B39" s="3" t="s">
        <v>99</v>
      </c>
      <c r="C39" s="4">
        <v>9.31</v>
      </c>
      <c r="D39" s="3" t="s">
        <v>27</v>
      </c>
      <c r="E39" s="3" t="s">
        <v>27</v>
      </c>
      <c r="F39" s="3" t="s">
        <v>27</v>
      </c>
      <c r="G39" s="3" t="s">
        <v>27</v>
      </c>
      <c r="H39" s="4">
        <v>1006.17</v>
      </c>
      <c r="I39" s="8">
        <v>1006.17</v>
      </c>
      <c r="J39" s="4">
        <v>0</v>
      </c>
      <c r="K39" s="4">
        <v>3960.4</v>
      </c>
      <c r="L39" s="4">
        <v>108.074</v>
      </c>
      <c r="M39" s="3" t="s">
        <v>27</v>
      </c>
      <c r="N39" s="3" t="s">
        <v>27</v>
      </c>
      <c r="O39" s="8">
        <v>4966.57</v>
      </c>
      <c r="P39" s="8">
        <v>1006.17</v>
      </c>
      <c r="Q39" s="8"/>
      <c r="R39" s="8">
        <v>100</v>
      </c>
      <c r="S39" s="4">
        <v>8.6560000000000006</v>
      </c>
      <c r="T39" s="3" t="s">
        <v>27</v>
      </c>
      <c r="U39" s="4">
        <v>0.47799999999999998</v>
      </c>
      <c r="V39" s="4">
        <v>0.40200000000000002</v>
      </c>
      <c r="W39" s="3" t="s">
        <v>27</v>
      </c>
      <c r="X39" s="3" t="s">
        <v>27</v>
      </c>
      <c r="Y39" s="5">
        <v>6037.02</v>
      </c>
    </row>
    <row r="40" spans="1:25" ht="25" customHeight="1" x14ac:dyDescent="0.15">
      <c r="A40" s="3" t="s">
        <v>100</v>
      </c>
      <c r="B40" s="3" t="s">
        <v>101</v>
      </c>
      <c r="C40" s="4">
        <v>10.35</v>
      </c>
      <c r="D40" s="3" t="s">
        <v>27</v>
      </c>
      <c r="E40" s="3" t="s">
        <v>27</v>
      </c>
      <c r="F40" s="3" t="s">
        <v>27</v>
      </c>
      <c r="G40" s="3" t="s">
        <v>27</v>
      </c>
      <c r="H40" s="4">
        <v>996.64</v>
      </c>
      <c r="I40" s="8">
        <v>996.64</v>
      </c>
      <c r="J40" s="4">
        <v>0</v>
      </c>
      <c r="K40" s="4">
        <v>5505.24</v>
      </c>
      <c r="L40" s="4">
        <v>96.293999999999997</v>
      </c>
      <c r="M40" s="3" t="s">
        <v>27</v>
      </c>
      <c r="N40" s="3" t="s">
        <v>27</v>
      </c>
      <c r="O40" s="8">
        <v>6501.88</v>
      </c>
      <c r="P40" s="8">
        <v>996.64</v>
      </c>
      <c r="Q40" s="8"/>
      <c r="R40" s="8">
        <v>100</v>
      </c>
      <c r="S40" s="4">
        <v>7.7329999999999997</v>
      </c>
      <c r="T40" s="3" t="s">
        <v>27</v>
      </c>
      <c r="U40" s="4">
        <v>0.47299999999999998</v>
      </c>
      <c r="V40" s="4">
        <v>0.39900000000000002</v>
      </c>
      <c r="W40" s="3" t="s">
        <v>27</v>
      </c>
      <c r="X40" s="3" t="s">
        <v>27</v>
      </c>
      <c r="Y40" s="5">
        <v>4983.2</v>
      </c>
    </row>
    <row r="41" spans="1:25" ht="25" customHeight="1" x14ac:dyDescent="0.15">
      <c r="A41" s="3" t="s">
        <v>102</v>
      </c>
      <c r="B41" s="3" t="s">
        <v>103</v>
      </c>
      <c r="C41" s="4">
        <v>10.35</v>
      </c>
      <c r="D41" s="3" t="s">
        <v>27</v>
      </c>
      <c r="E41" s="3" t="s">
        <v>27</v>
      </c>
      <c r="F41" s="3" t="s">
        <v>27</v>
      </c>
      <c r="G41" s="3" t="s">
        <v>27</v>
      </c>
      <c r="H41" s="4">
        <v>956.67</v>
      </c>
      <c r="I41" s="8">
        <v>956.67</v>
      </c>
      <c r="J41" s="4">
        <v>0.02</v>
      </c>
      <c r="K41" s="4">
        <v>4313.04</v>
      </c>
      <c r="L41" s="4">
        <v>92.432000000000002</v>
      </c>
      <c r="M41" s="3" t="s">
        <v>27</v>
      </c>
      <c r="N41" s="3" t="s">
        <v>27</v>
      </c>
      <c r="O41" s="8">
        <v>5269.69</v>
      </c>
      <c r="P41" s="8">
        <v>956.65</v>
      </c>
      <c r="Q41" s="8"/>
      <c r="R41" s="8">
        <v>99.998000000000005</v>
      </c>
      <c r="S41" s="4">
        <v>7.5220000000000002</v>
      </c>
      <c r="T41" s="3" t="s">
        <v>27</v>
      </c>
      <c r="U41" s="4">
        <v>0.45400000000000001</v>
      </c>
      <c r="V41" s="4">
        <v>0.38300000000000001</v>
      </c>
      <c r="W41" s="3" t="s">
        <v>27</v>
      </c>
      <c r="X41" s="3" t="s">
        <v>27</v>
      </c>
      <c r="Y41" s="5">
        <v>4783.3500000000004</v>
      </c>
    </row>
    <row r="42" spans="1:25" ht="25" customHeight="1" x14ac:dyDescent="0.15">
      <c r="A42" s="3" t="s">
        <v>104</v>
      </c>
      <c r="B42" s="3" t="s">
        <v>105</v>
      </c>
      <c r="C42" s="4">
        <v>10.35</v>
      </c>
      <c r="D42" s="3" t="s">
        <v>27</v>
      </c>
      <c r="E42" s="3" t="s">
        <v>27</v>
      </c>
      <c r="F42" s="3" t="s">
        <v>27</v>
      </c>
      <c r="G42" s="3" t="s">
        <v>27</v>
      </c>
      <c r="H42" s="4">
        <v>955.87</v>
      </c>
      <c r="I42" s="8">
        <v>955.87</v>
      </c>
      <c r="J42" s="4">
        <v>0.1</v>
      </c>
      <c r="K42" s="4">
        <v>1430.52</v>
      </c>
      <c r="L42" s="4">
        <v>92.355000000000004</v>
      </c>
      <c r="M42" s="3" t="s">
        <v>27</v>
      </c>
      <c r="N42" s="3" t="s">
        <v>27</v>
      </c>
      <c r="O42" s="8">
        <v>2386.29</v>
      </c>
      <c r="P42" s="8">
        <v>955.77</v>
      </c>
      <c r="Q42" s="8"/>
      <c r="R42" s="8">
        <v>99.99</v>
      </c>
      <c r="S42" s="4">
        <v>9.0009999999999994</v>
      </c>
      <c r="T42" s="3" t="s">
        <v>27</v>
      </c>
      <c r="U42" s="4">
        <v>0.45400000000000001</v>
      </c>
      <c r="V42" s="4">
        <v>0.38200000000000001</v>
      </c>
      <c r="W42" s="3" t="s">
        <v>27</v>
      </c>
      <c r="X42" s="3" t="s">
        <v>27</v>
      </c>
      <c r="Y42" s="5">
        <v>4779.3500000000004</v>
      </c>
    </row>
    <row r="43" spans="1:25" ht="25" customHeight="1" x14ac:dyDescent="0.15">
      <c r="A43" s="3" t="s">
        <v>106</v>
      </c>
      <c r="B43" s="3" t="s">
        <v>107</v>
      </c>
      <c r="C43" s="4">
        <v>10.26</v>
      </c>
      <c r="D43" s="3" t="s">
        <v>27</v>
      </c>
      <c r="E43" s="3" t="s">
        <v>27</v>
      </c>
      <c r="F43" s="3" t="s">
        <v>27</v>
      </c>
      <c r="G43" s="3" t="s">
        <v>27</v>
      </c>
      <c r="H43" s="4">
        <v>926.91</v>
      </c>
      <c r="I43" s="8">
        <v>926.91</v>
      </c>
      <c r="J43" s="4">
        <v>0.02</v>
      </c>
      <c r="K43" s="4">
        <v>4325.63</v>
      </c>
      <c r="L43" s="4">
        <v>90.341999999999999</v>
      </c>
      <c r="M43" s="3" t="s">
        <v>27</v>
      </c>
      <c r="N43" s="3" t="s">
        <v>27</v>
      </c>
      <c r="O43" s="8">
        <v>5252.52</v>
      </c>
      <c r="P43" s="8">
        <v>926.89</v>
      </c>
      <c r="Q43" s="8"/>
      <c r="R43" s="8">
        <v>99.998000000000005</v>
      </c>
      <c r="S43" s="4">
        <v>6.492</v>
      </c>
      <c r="T43" s="3" t="s">
        <v>27</v>
      </c>
      <c r="U43" s="4">
        <v>0.44</v>
      </c>
      <c r="V43" s="4">
        <v>0.371</v>
      </c>
      <c r="W43" s="3" t="s">
        <v>27</v>
      </c>
      <c r="X43" s="3" t="s">
        <v>27</v>
      </c>
      <c r="Y43" s="5">
        <v>4634.45</v>
      </c>
    </row>
    <row r="44" spans="1:25" ht="25" customHeight="1" x14ac:dyDescent="0.15">
      <c r="A44" s="3" t="s">
        <v>108</v>
      </c>
      <c r="B44" s="3" t="s">
        <v>109</v>
      </c>
      <c r="C44" s="4">
        <v>10.35</v>
      </c>
      <c r="D44" s="3" t="s">
        <v>27</v>
      </c>
      <c r="E44" s="3" t="s">
        <v>27</v>
      </c>
      <c r="F44" s="3" t="s">
        <v>27</v>
      </c>
      <c r="G44" s="3" t="s">
        <v>27</v>
      </c>
      <c r="H44" s="4">
        <v>896.16</v>
      </c>
      <c r="I44" s="8">
        <v>896.16</v>
      </c>
      <c r="J44" s="4">
        <v>0</v>
      </c>
      <c r="K44" s="4">
        <v>2291.35</v>
      </c>
      <c r="L44" s="4">
        <v>86.585999999999999</v>
      </c>
      <c r="M44" s="3" t="s">
        <v>27</v>
      </c>
      <c r="N44" s="3" t="s">
        <v>27</v>
      </c>
      <c r="O44" s="8">
        <v>3187.51</v>
      </c>
      <c r="P44" s="8">
        <v>896.16</v>
      </c>
      <c r="Q44" s="8"/>
      <c r="R44" s="8">
        <v>100</v>
      </c>
      <c r="S44" s="4">
        <v>8.7560000000000002</v>
      </c>
      <c r="T44" s="3" t="s">
        <v>27</v>
      </c>
      <c r="U44" s="4">
        <v>0.42599999999999999</v>
      </c>
      <c r="V44" s="4">
        <v>0.35799999999999998</v>
      </c>
      <c r="W44" s="3" t="s">
        <v>27</v>
      </c>
      <c r="X44" s="3" t="s">
        <v>27</v>
      </c>
      <c r="Y44" s="3" t="s">
        <v>27</v>
      </c>
    </row>
    <row r="45" spans="1:25" ht="25" customHeight="1" x14ac:dyDescent="0.15">
      <c r="A45" s="3" t="s">
        <v>110</v>
      </c>
      <c r="B45" s="3" t="s">
        <v>111</v>
      </c>
      <c r="C45" s="4">
        <v>23.94</v>
      </c>
      <c r="D45" s="3" t="s">
        <v>27</v>
      </c>
      <c r="E45" s="3" t="s">
        <v>27</v>
      </c>
      <c r="F45" s="3" t="s">
        <v>27</v>
      </c>
      <c r="G45" s="3" t="s">
        <v>27</v>
      </c>
      <c r="H45" s="4">
        <v>869.58</v>
      </c>
      <c r="I45" s="8">
        <v>869.58</v>
      </c>
      <c r="J45" s="4">
        <v>23.02</v>
      </c>
      <c r="K45" s="4">
        <v>3166.21</v>
      </c>
      <c r="L45" s="4">
        <v>36.323</v>
      </c>
      <c r="M45" s="3" t="s">
        <v>27</v>
      </c>
      <c r="N45" s="3" t="s">
        <v>27</v>
      </c>
      <c r="O45" s="8">
        <v>4012.77</v>
      </c>
      <c r="P45" s="8">
        <v>846.56</v>
      </c>
      <c r="Q45" s="8"/>
      <c r="R45" s="8">
        <v>97.352999999999994</v>
      </c>
      <c r="S45" s="4">
        <v>10.808999999999999</v>
      </c>
      <c r="T45" s="3" t="s">
        <v>27</v>
      </c>
      <c r="U45" s="4">
        <v>0.41299999999999998</v>
      </c>
      <c r="V45" s="4">
        <v>0.34799999999999998</v>
      </c>
      <c r="W45" s="3" t="s">
        <v>27</v>
      </c>
      <c r="X45" s="3" t="s">
        <v>27</v>
      </c>
      <c r="Y45" s="5">
        <v>5079.3599999999997</v>
      </c>
    </row>
    <row r="46" spans="1:25" ht="25" customHeight="1" x14ac:dyDescent="0.15">
      <c r="A46" s="3" t="s">
        <v>112</v>
      </c>
      <c r="B46" s="3" t="s">
        <v>113</v>
      </c>
      <c r="C46" s="4">
        <v>10.26</v>
      </c>
      <c r="D46" s="3" t="s">
        <v>27</v>
      </c>
      <c r="E46" s="3" t="s">
        <v>27</v>
      </c>
      <c r="F46" s="3" t="s">
        <v>27</v>
      </c>
      <c r="G46" s="3" t="s">
        <v>27</v>
      </c>
      <c r="H46" s="4">
        <v>831.52</v>
      </c>
      <c r="I46" s="8">
        <v>831.52</v>
      </c>
      <c r="J46" s="4">
        <v>0.05</v>
      </c>
      <c r="K46" s="4">
        <v>2300.25</v>
      </c>
      <c r="L46" s="4">
        <v>81.045000000000002</v>
      </c>
      <c r="M46" s="3" t="s">
        <v>27</v>
      </c>
      <c r="N46" s="3" t="s">
        <v>27</v>
      </c>
      <c r="O46" s="8">
        <v>3131.72</v>
      </c>
      <c r="P46" s="8">
        <v>831.47</v>
      </c>
      <c r="Q46" s="8"/>
      <c r="R46" s="8">
        <v>99.994</v>
      </c>
      <c r="S46" s="4">
        <v>6.15</v>
      </c>
      <c r="T46" s="3" t="s">
        <v>27</v>
      </c>
      <c r="U46" s="4">
        <v>0.39500000000000002</v>
      </c>
      <c r="V46" s="4">
        <v>0.33300000000000002</v>
      </c>
      <c r="W46" s="3" t="s">
        <v>27</v>
      </c>
      <c r="X46" s="3" t="s">
        <v>27</v>
      </c>
      <c r="Y46" s="5">
        <v>4282.07</v>
      </c>
    </row>
    <row r="47" spans="1:25" ht="25" customHeight="1" x14ac:dyDescent="0.15">
      <c r="A47" s="3" t="s">
        <v>114</v>
      </c>
      <c r="B47" s="3" t="s">
        <v>115</v>
      </c>
      <c r="C47" s="4">
        <v>10.26</v>
      </c>
      <c r="D47" s="3" t="s">
        <v>27</v>
      </c>
      <c r="E47" s="3" t="s">
        <v>27</v>
      </c>
      <c r="F47" s="3" t="s">
        <v>27</v>
      </c>
      <c r="G47" s="3" t="s">
        <v>27</v>
      </c>
      <c r="H47" s="4">
        <v>814.9</v>
      </c>
      <c r="I47" s="8">
        <v>814.9</v>
      </c>
      <c r="J47" s="4">
        <v>0.03</v>
      </c>
      <c r="K47" s="4">
        <v>2783.25</v>
      </c>
      <c r="L47" s="4">
        <v>79.424999999999997</v>
      </c>
      <c r="M47" s="3" t="s">
        <v>27</v>
      </c>
      <c r="N47" s="3" t="s">
        <v>27</v>
      </c>
      <c r="O47" s="8">
        <v>3598.12</v>
      </c>
      <c r="P47" s="8">
        <v>814.87</v>
      </c>
      <c r="Q47" s="8"/>
      <c r="R47" s="8">
        <v>99.995999999999995</v>
      </c>
      <c r="S47" s="4">
        <v>7.0590000000000002</v>
      </c>
      <c r="T47" s="3" t="s">
        <v>27</v>
      </c>
      <c r="U47" s="4">
        <v>0.38700000000000001</v>
      </c>
      <c r="V47" s="4">
        <v>0.32600000000000001</v>
      </c>
      <c r="W47" s="3" t="s">
        <v>27</v>
      </c>
      <c r="X47" s="3" t="s">
        <v>27</v>
      </c>
      <c r="Y47" s="5">
        <v>4074.35</v>
      </c>
    </row>
    <row r="48" spans="1:25" ht="25" customHeight="1" x14ac:dyDescent="0.15">
      <c r="A48" s="3" t="s">
        <v>116</v>
      </c>
      <c r="B48" s="3" t="s">
        <v>117</v>
      </c>
      <c r="C48" s="4">
        <v>15.525</v>
      </c>
      <c r="D48" s="3" t="s">
        <v>27</v>
      </c>
      <c r="E48" s="3" t="s">
        <v>27</v>
      </c>
      <c r="F48" s="3" t="s">
        <v>27</v>
      </c>
      <c r="G48" s="3" t="s">
        <v>27</v>
      </c>
      <c r="H48" s="4">
        <v>811.3</v>
      </c>
      <c r="I48" s="8">
        <v>811.3</v>
      </c>
      <c r="J48" s="4">
        <v>819.42</v>
      </c>
      <c r="K48" s="4">
        <v>2868.78</v>
      </c>
      <c r="L48" s="4">
        <v>52.258000000000003</v>
      </c>
      <c r="M48" s="3" t="s">
        <v>27</v>
      </c>
      <c r="N48" s="3" t="s">
        <v>27</v>
      </c>
      <c r="O48" s="8">
        <v>2860.66</v>
      </c>
      <c r="P48" s="8">
        <v>88.02</v>
      </c>
      <c r="Q48" s="8"/>
      <c r="R48" s="8">
        <v>0</v>
      </c>
      <c r="S48" s="4">
        <v>9.6850000000000005</v>
      </c>
      <c r="T48" s="3" t="s">
        <v>27</v>
      </c>
      <c r="U48" s="4">
        <v>0.38500000000000001</v>
      </c>
      <c r="V48" s="4">
        <v>0.32500000000000001</v>
      </c>
      <c r="W48" s="3" t="s">
        <v>27</v>
      </c>
      <c r="X48" s="3" t="s">
        <v>27</v>
      </c>
      <c r="Y48" s="5">
        <v>4056.5</v>
      </c>
    </row>
    <row r="49" spans="1:25" ht="25" customHeight="1" x14ac:dyDescent="0.15">
      <c r="A49" s="3" t="s">
        <v>118</v>
      </c>
      <c r="B49" s="3" t="s">
        <v>119</v>
      </c>
      <c r="C49" s="4">
        <v>10.26</v>
      </c>
      <c r="D49" s="3" t="s">
        <v>27</v>
      </c>
      <c r="E49" s="3" t="s">
        <v>27</v>
      </c>
      <c r="F49" s="3" t="s">
        <v>27</v>
      </c>
      <c r="G49" s="3" t="s">
        <v>27</v>
      </c>
      <c r="H49" s="4">
        <v>804.52</v>
      </c>
      <c r="I49" s="8">
        <v>804.52</v>
      </c>
      <c r="J49" s="4">
        <v>0</v>
      </c>
      <c r="K49" s="4">
        <v>5115.66</v>
      </c>
      <c r="L49" s="4">
        <v>78.412999999999997</v>
      </c>
      <c r="M49" s="3" t="s">
        <v>27</v>
      </c>
      <c r="N49" s="3" t="s">
        <v>27</v>
      </c>
      <c r="O49" s="8">
        <v>5920.18</v>
      </c>
      <c r="P49" s="8">
        <v>804.52</v>
      </c>
      <c r="Q49" s="8"/>
      <c r="R49" s="8">
        <v>100</v>
      </c>
      <c r="S49" s="4">
        <v>5.9640000000000004</v>
      </c>
      <c r="T49" s="3" t="s">
        <v>27</v>
      </c>
      <c r="U49" s="4">
        <v>0.38200000000000001</v>
      </c>
      <c r="V49" s="4">
        <v>0.32200000000000001</v>
      </c>
      <c r="W49" s="3" t="s">
        <v>27</v>
      </c>
      <c r="X49" s="3" t="s">
        <v>27</v>
      </c>
      <c r="Y49" s="5">
        <v>4143.28</v>
      </c>
    </row>
    <row r="50" spans="1:25" ht="25" customHeight="1" x14ac:dyDescent="0.15">
      <c r="A50" s="3" t="s">
        <v>120</v>
      </c>
      <c r="B50" s="3" t="s">
        <v>121</v>
      </c>
      <c r="C50" s="4">
        <v>14.63</v>
      </c>
      <c r="D50" s="3" t="s">
        <v>27</v>
      </c>
      <c r="E50" s="3" t="s">
        <v>27</v>
      </c>
      <c r="F50" s="3" t="s">
        <v>27</v>
      </c>
      <c r="G50" s="3" t="s">
        <v>27</v>
      </c>
      <c r="H50" s="4">
        <v>799.2</v>
      </c>
      <c r="I50" s="8">
        <v>799.2</v>
      </c>
      <c r="J50" s="4">
        <v>0.06</v>
      </c>
      <c r="K50" s="4">
        <v>975.31</v>
      </c>
      <c r="L50" s="4">
        <v>54.627000000000002</v>
      </c>
      <c r="M50" s="3" t="s">
        <v>27</v>
      </c>
      <c r="N50" s="3" t="s">
        <v>27</v>
      </c>
      <c r="O50" s="8">
        <v>1774.45</v>
      </c>
      <c r="P50" s="8">
        <v>799.14</v>
      </c>
      <c r="Q50" s="8"/>
      <c r="R50" s="8">
        <v>99.992000000000004</v>
      </c>
      <c r="S50" s="4">
        <v>8.8849999999999998</v>
      </c>
      <c r="T50" s="3" t="s">
        <v>27</v>
      </c>
      <c r="U50" s="4">
        <v>0.38</v>
      </c>
      <c r="V50" s="4">
        <v>0.32</v>
      </c>
      <c r="W50" s="3" t="s">
        <v>27</v>
      </c>
      <c r="X50" s="3" t="s">
        <v>27</v>
      </c>
      <c r="Y50" s="3" t="s">
        <v>27</v>
      </c>
    </row>
    <row r="51" spans="1:25" ht="25" customHeight="1" x14ac:dyDescent="0.15">
      <c r="A51" s="3" t="s">
        <v>122</v>
      </c>
      <c r="B51" s="3" t="s">
        <v>123</v>
      </c>
      <c r="C51" s="4">
        <v>10.26</v>
      </c>
      <c r="D51" s="3" t="s">
        <v>27</v>
      </c>
      <c r="E51" s="3" t="s">
        <v>27</v>
      </c>
      <c r="F51" s="3" t="s">
        <v>27</v>
      </c>
      <c r="G51" s="3" t="s">
        <v>27</v>
      </c>
      <c r="H51" s="4">
        <v>772.97</v>
      </c>
      <c r="I51" s="8">
        <v>772.97</v>
      </c>
      <c r="J51" s="4">
        <v>0</v>
      </c>
      <c r="K51" s="4">
        <v>6707.99</v>
      </c>
      <c r="L51" s="4">
        <v>75.337999999999994</v>
      </c>
      <c r="M51" s="3" t="s">
        <v>27</v>
      </c>
      <c r="N51" s="3" t="s">
        <v>27</v>
      </c>
      <c r="O51" s="8">
        <v>7480.96</v>
      </c>
      <c r="P51" s="8">
        <v>772.97</v>
      </c>
      <c r="Q51" s="8"/>
      <c r="R51" s="8">
        <v>100</v>
      </c>
      <c r="S51" s="4">
        <v>8.8049999999999997</v>
      </c>
      <c r="T51" s="3" t="s">
        <v>27</v>
      </c>
      <c r="U51" s="4">
        <v>0.36699999999999999</v>
      </c>
      <c r="V51" s="4">
        <v>0.309</v>
      </c>
      <c r="W51" s="3" t="s">
        <v>27</v>
      </c>
      <c r="X51" s="3" t="s">
        <v>27</v>
      </c>
      <c r="Y51" s="5">
        <v>3864.85</v>
      </c>
    </row>
    <row r="52" spans="1:25" ht="25" customHeight="1" x14ac:dyDescent="0.15">
      <c r="A52" s="3" t="s">
        <v>124</v>
      </c>
      <c r="B52" s="3" t="s">
        <v>125</v>
      </c>
      <c r="C52" s="4">
        <v>15.4</v>
      </c>
      <c r="D52" s="3" t="s">
        <v>27</v>
      </c>
      <c r="E52" s="3" t="s">
        <v>27</v>
      </c>
      <c r="F52" s="3" t="s">
        <v>27</v>
      </c>
      <c r="G52" s="3" t="s">
        <v>27</v>
      </c>
      <c r="H52" s="4">
        <v>771.36</v>
      </c>
      <c r="I52" s="8">
        <v>771.36</v>
      </c>
      <c r="J52" s="4">
        <v>0.01</v>
      </c>
      <c r="K52" s="4">
        <v>1545.06</v>
      </c>
      <c r="L52" s="4">
        <v>50.088000000000001</v>
      </c>
      <c r="M52" s="3" t="s">
        <v>27</v>
      </c>
      <c r="N52" s="3" t="s">
        <v>27</v>
      </c>
      <c r="O52" s="8">
        <v>2316.41</v>
      </c>
      <c r="P52" s="8">
        <v>771.35</v>
      </c>
      <c r="Q52" s="8"/>
      <c r="R52" s="8">
        <v>99.998999999999995</v>
      </c>
      <c r="S52" s="4">
        <v>13.669</v>
      </c>
      <c r="T52" s="3" t="s">
        <v>27</v>
      </c>
      <c r="U52" s="4">
        <v>0.36599999999999999</v>
      </c>
      <c r="V52" s="4">
        <v>0.309</v>
      </c>
      <c r="W52" s="3" t="s">
        <v>27</v>
      </c>
      <c r="X52" s="3" t="s">
        <v>27</v>
      </c>
      <c r="Y52" s="5">
        <v>3503</v>
      </c>
    </row>
    <row r="53" spans="1:25" ht="25" customHeight="1" x14ac:dyDescent="0.15">
      <c r="A53" s="3" t="s">
        <v>126</v>
      </c>
      <c r="B53" s="3" t="s">
        <v>127</v>
      </c>
      <c r="C53" s="4">
        <v>9.31</v>
      </c>
      <c r="D53" s="3" t="s">
        <v>27</v>
      </c>
      <c r="E53" s="3" t="s">
        <v>27</v>
      </c>
      <c r="F53" s="3" t="s">
        <v>27</v>
      </c>
      <c r="G53" s="3" t="s">
        <v>27</v>
      </c>
      <c r="H53" s="4">
        <v>702.64</v>
      </c>
      <c r="I53" s="8">
        <v>702.64</v>
      </c>
      <c r="J53" s="4">
        <v>0</v>
      </c>
      <c r="K53" s="4">
        <v>2431.2399999999998</v>
      </c>
      <c r="L53" s="4">
        <v>75.471999999999994</v>
      </c>
      <c r="M53" s="3" t="s">
        <v>27</v>
      </c>
      <c r="N53" s="3" t="s">
        <v>27</v>
      </c>
      <c r="O53" s="8">
        <v>3133.88</v>
      </c>
      <c r="P53" s="8">
        <v>702.64</v>
      </c>
      <c r="Q53" s="8"/>
      <c r="R53" s="8">
        <v>100</v>
      </c>
      <c r="S53" s="4">
        <v>8.2940000000000005</v>
      </c>
      <c r="T53" s="3" t="s">
        <v>27</v>
      </c>
      <c r="U53" s="4">
        <v>0.33400000000000002</v>
      </c>
      <c r="V53" s="4">
        <v>0.28100000000000003</v>
      </c>
      <c r="W53" s="3" t="s">
        <v>27</v>
      </c>
      <c r="X53" s="3" t="s">
        <v>27</v>
      </c>
      <c r="Y53" s="5">
        <v>3513.2</v>
      </c>
    </row>
    <row r="54" spans="1:25" ht="25" customHeight="1" x14ac:dyDescent="0.15">
      <c r="A54" s="3" t="s">
        <v>128</v>
      </c>
      <c r="B54" s="3" t="s">
        <v>129</v>
      </c>
      <c r="C54" s="4">
        <v>20.64</v>
      </c>
      <c r="D54" s="3" t="s">
        <v>27</v>
      </c>
      <c r="E54" s="3" t="s">
        <v>27</v>
      </c>
      <c r="F54" s="3" t="s">
        <v>27</v>
      </c>
      <c r="G54" s="3" t="s">
        <v>27</v>
      </c>
      <c r="H54" s="4">
        <v>691.96</v>
      </c>
      <c r="I54" s="8">
        <v>691.96</v>
      </c>
      <c r="J54" s="4">
        <v>15.92</v>
      </c>
      <c r="K54" s="4">
        <v>1516.08</v>
      </c>
      <c r="L54" s="4">
        <v>33.524999999999999</v>
      </c>
      <c r="M54" s="3" t="s">
        <v>27</v>
      </c>
      <c r="N54" s="3" t="s">
        <v>27</v>
      </c>
      <c r="O54" s="8">
        <v>2192.12</v>
      </c>
      <c r="P54" s="8">
        <v>676.04</v>
      </c>
      <c r="Q54" s="8"/>
      <c r="R54" s="8">
        <v>97.698999999999998</v>
      </c>
      <c r="S54" s="4">
        <v>19.076000000000001</v>
      </c>
      <c r="T54" s="3" t="s">
        <v>27</v>
      </c>
      <c r="U54" s="4">
        <v>0.32900000000000001</v>
      </c>
      <c r="V54" s="4">
        <v>0.27700000000000002</v>
      </c>
      <c r="W54" s="3" t="s">
        <v>27</v>
      </c>
      <c r="X54" s="3" t="s">
        <v>27</v>
      </c>
      <c r="Y54" s="5">
        <v>3517.15</v>
      </c>
    </row>
    <row r="55" spans="1:25" ht="25" customHeight="1" x14ac:dyDescent="0.15">
      <c r="A55" s="3" t="s">
        <v>130</v>
      </c>
      <c r="B55" s="3" t="s">
        <v>131</v>
      </c>
      <c r="C55" s="4">
        <v>11</v>
      </c>
      <c r="D55" s="3" t="s">
        <v>27</v>
      </c>
      <c r="E55" s="3" t="s">
        <v>27</v>
      </c>
      <c r="F55" s="3" t="s">
        <v>27</v>
      </c>
      <c r="G55" s="3" t="s">
        <v>27</v>
      </c>
      <c r="H55" s="4">
        <v>647.51</v>
      </c>
      <c r="I55" s="8">
        <v>647.51</v>
      </c>
      <c r="J55" s="4">
        <v>0.01</v>
      </c>
      <c r="K55" s="4">
        <v>967.58</v>
      </c>
      <c r="L55" s="4">
        <v>58.865000000000002</v>
      </c>
      <c r="M55" s="3" t="s">
        <v>27</v>
      </c>
      <c r="N55" s="3" t="s">
        <v>27</v>
      </c>
      <c r="O55" s="8">
        <v>1615.08</v>
      </c>
      <c r="P55" s="8">
        <v>647.5</v>
      </c>
      <c r="Q55" s="8"/>
      <c r="R55" s="8">
        <v>99.998000000000005</v>
      </c>
      <c r="S55" s="4">
        <v>7.7619999999999996</v>
      </c>
      <c r="T55" s="3" t="s">
        <v>27</v>
      </c>
      <c r="U55" s="4">
        <v>0.308</v>
      </c>
      <c r="V55" s="4">
        <v>0.25900000000000001</v>
      </c>
      <c r="W55" s="3" t="s">
        <v>27</v>
      </c>
      <c r="X55" s="3" t="s">
        <v>27</v>
      </c>
      <c r="Y55" s="3" t="s">
        <v>27</v>
      </c>
    </row>
    <row r="56" spans="1:25" ht="25" customHeight="1" x14ac:dyDescent="0.15">
      <c r="A56" s="3" t="s">
        <v>132</v>
      </c>
      <c r="B56" s="3" t="s">
        <v>133</v>
      </c>
      <c r="C56" s="4">
        <v>20.8</v>
      </c>
      <c r="D56" s="3" t="s">
        <v>27</v>
      </c>
      <c r="E56" s="3" t="s">
        <v>27</v>
      </c>
      <c r="F56" s="3" t="s">
        <v>27</v>
      </c>
      <c r="G56" s="3" t="s">
        <v>27</v>
      </c>
      <c r="H56" s="4">
        <v>548.70000000000005</v>
      </c>
      <c r="I56" s="8">
        <v>548.70000000000005</v>
      </c>
      <c r="J56" s="4">
        <v>0.01</v>
      </c>
      <c r="K56" s="4">
        <v>2106.37</v>
      </c>
      <c r="L56" s="4">
        <v>26.38</v>
      </c>
      <c r="M56" s="3" t="s">
        <v>27</v>
      </c>
      <c r="N56" s="3" t="s">
        <v>27</v>
      </c>
      <c r="O56" s="8">
        <v>2655.06</v>
      </c>
      <c r="P56" s="8">
        <v>548.69000000000005</v>
      </c>
      <c r="Q56" s="8"/>
      <c r="R56" s="8">
        <v>99.998000000000005</v>
      </c>
      <c r="S56" s="4">
        <v>19.446999999999999</v>
      </c>
      <c r="T56" s="3" t="s">
        <v>27</v>
      </c>
      <c r="U56" s="4">
        <v>0.26100000000000001</v>
      </c>
      <c r="V56" s="4">
        <v>0.219</v>
      </c>
      <c r="W56" s="3" t="s">
        <v>27</v>
      </c>
      <c r="X56" s="3" t="s">
        <v>27</v>
      </c>
      <c r="Y56" s="3" t="s">
        <v>27</v>
      </c>
    </row>
    <row r="57" spans="1:25" ht="25" customHeight="1" x14ac:dyDescent="0.15">
      <c r="A57" s="3" t="s">
        <v>134</v>
      </c>
      <c r="B57" s="3" t="s">
        <v>135</v>
      </c>
      <c r="C57" s="4">
        <v>10.4</v>
      </c>
      <c r="D57" s="3" t="s">
        <v>27</v>
      </c>
      <c r="E57" s="3" t="s">
        <v>27</v>
      </c>
      <c r="F57" s="3" t="s">
        <v>27</v>
      </c>
      <c r="G57" s="3" t="s">
        <v>27</v>
      </c>
      <c r="H57" s="4">
        <v>538.4</v>
      </c>
      <c r="I57" s="8">
        <v>538.4</v>
      </c>
      <c r="J57" s="4">
        <v>284.2</v>
      </c>
      <c r="K57" s="4">
        <v>210.84</v>
      </c>
      <c r="L57" s="4">
        <v>51.768999999999998</v>
      </c>
      <c r="M57" s="3" t="s">
        <v>27</v>
      </c>
      <c r="N57" s="3" t="s">
        <v>27</v>
      </c>
      <c r="O57" s="8">
        <v>465.04</v>
      </c>
      <c r="P57" s="8">
        <v>254.2</v>
      </c>
      <c r="Q57" s="8"/>
      <c r="R57" s="8">
        <v>47.213999999999999</v>
      </c>
      <c r="S57" s="4">
        <v>9.5690000000000008</v>
      </c>
      <c r="T57" s="3" t="s">
        <v>27</v>
      </c>
      <c r="U57" s="4">
        <v>0.25600000000000001</v>
      </c>
      <c r="V57" s="4">
        <v>0.215</v>
      </c>
      <c r="W57" s="3" t="s">
        <v>27</v>
      </c>
      <c r="X57" s="3" t="s">
        <v>27</v>
      </c>
      <c r="Y57" s="5">
        <v>1421</v>
      </c>
    </row>
    <row r="58" spans="1:25" ht="25" customHeight="1" x14ac:dyDescent="0.15">
      <c r="A58" s="3" t="s">
        <v>136</v>
      </c>
      <c r="B58" s="3" t="s">
        <v>137</v>
      </c>
      <c r="C58" s="4">
        <v>10.35</v>
      </c>
      <c r="D58" s="3" t="s">
        <v>27</v>
      </c>
      <c r="E58" s="3" t="s">
        <v>27</v>
      </c>
      <c r="F58" s="3" t="s">
        <v>27</v>
      </c>
      <c r="G58" s="3" t="s">
        <v>27</v>
      </c>
      <c r="H58" s="4">
        <v>531.85</v>
      </c>
      <c r="I58" s="8">
        <v>531.85</v>
      </c>
      <c r="J58" s="4">
        <v>0.03</v>
      </c>
      <c r="K58" s="4">
        <v>728.85</v>
      </c>
      <c r="L58" s="4">
        <v>51.386000000000003</v>
      </c>
      <c r="M58" s="3" t="s">
        <v>27</v>
      </c>
      <c r="N58" s="3" t="s">
        <v>27</v>
      </c>
      <c r="O58" s="8">
        <v>1260.67</v>
      </c>
      <c r="P58" s="8">
        <v>531.82000000000005</v>
      </c>
      <c r="Q58" s="8"/>
      <c r="R58" s="8">
        <v>99.994</v>
      </c>
      <c r="S58" s="4">
        <v>6.0629999999999997</v>
      </c>
      <c r="T58" s="3" t="s">
        <v>27</v>
      </c>
      <c r="U58" s="4">
        <v>0.253</v>
      </c>
      <c r="V58" s="4">
        <v>0.21299999999999999</v>
      </c>
      <c r="W58" s="3" t="s">
        <v>27</v>
      </c>
      <c r="X58" s="3" t="s">
        <v>27</v>
      </c>
      <c r="Y58" s="5">
        <v>2659.25</v>
      </c>
    </row>
    <row r="59" spans="1:25" ht="25" customHeight="1" x14ac:dyDescent="0.15">
      <c r="A59" s="3" t="s">
        <v>138</v>
      </c>
      <c r="B59" s="3" t="s">
        <v>139</v>
      </c>
      <c r="C59" s="4">
        <v>10.26</v>
      </c>
      <c r="D59" s="3" t="s">
        <v>27</v>
      </c>
      <c r="E59" s="3" t="s">
        <v>27</v>
      </c>
      <c r="F59" s="3" t="s">
        <v>27</v>
      </c>
      <c r="G59" s="3" t="s">
        <v>27</v>
      </c>
      <c r="H59" s="4">
        <v>497.32</v>
      </c>
      <c r="I59" s="8">
        <v>497.32</v>
      </c>
      <c r="J59" s="4">
        <v>205.76</v>
      </c>
      <c r="K59" s="4">
        <v>513.79</v>
      </c>
      <c r="L59" s="4">
        <v>48.472000000000001</v>
      </c>
      <c r="M59" s="3" t="s">
        <v>27</v>
      </c>
      <c r="N59" s="3" t="s">
        <v>27</v>
      </c>
      <c r="O59" s="8">
        <v>805.35</v>
      </c>
      <c r="P59" s="8">
        <v>297.95</v>
      </c>
      <c r="Q59" s="8"/>
      <c r="R59" s="8">
        <v>58.625999999999998</v>
      </c>
      <c r="S59" s="4">
        <v>8.4670000000000005</v>
      </c>
      <c r="T59" s="3" t="s">
        <v>27</v>
      </c>
      <c r="U59" s="4">
        <v>0.23599999999999999</v>
      </c>
      <c r="V59" s="4">
        <v>0.19900000000000001</v>
      </c>
      <c r="W59" s="3" t="s">
        <v>27</v>
      </c>
      <c r="X59" s="3" t="s">
        <v>27</v>
      </c>
      <c r="Y59" s="5">
        <v>2439.15</v>
      </c>
    </row>
    <row r="60" spans="1:25" ht="25" customHeight="1" x14ac:dyDescent="0.15">
      <c r="A60" s="3" t="s">
        <v>140</v>
      </c>
      <c r="B60" s="3" t="s">
        <v>141</v>
      </c>
      <c r="C60" s="4">
        <v>20.8</v>
      </c>
      <c r="D60" s="3" t="s">
        <v>27</v>
      </c>
      <c r="E60" s="3" t="s">
        <v>27</v>
      </c>
      <c r="F60" s="3" t="s">
        <v>27</v>
      </c>
      <c r="G60" s="3" t="s">
        <v>27</v>
      </c>
      <c r="H60" s="4">
        <v>451.03</v>
      </c>
      <c r="I60" s="8">
        <v>451.03</v>
      </c>
      <c r="J60" s="4">
        <v>71.33</v>
      </c>
      <c r="K60" s="4">
        <v>1477.76</v>
      </c>
      <c r="L60" s="4">
        <v>21.684000000000001</v>
      </c>
      <c r="M60" s="3" t="s">
        <v>27</v>
      </c>
      <c r="N60" s="3" t="s">
        <v>27</v>
      </c>
      <c r="O60" s="8">
        <v>1857.46</v>
      </c>
      <c r="P60" s="8">
        <v>379.7</v>
      </c>
      <c r="Q60" s="8"/>
      <c r="R60" s="8">
        <v>84.185000000000002</v>
      </c>
      <c r="S60" s="4">
        <v>19.271000000000001</v>
      </c>
      <c r="T60" s="3" t="s">
        <v>27</v>
      </c>
      <c r="U60" s="4">
        <v>0.214</v>
      </c>
      <c r="V60" s="4">
        <v>0.18</v>
      </c>
      <c r="W60" s="3" t="s">
        <v>27</v>
      </c>
      <c r="X60" s="3" t="s">
        <v>27</v>
      </c>
      <c r="Y60" s="5">
        <v>2255.15</v>
      </c>
    </row>
    <row r="61" spans="1:25" ht="25" customHeight="1" x14ac:dyDescent="0.15">
      <c r="A61" s="3" t="s">
        <v>142</v>
      </c>
      <c r="B61" s="3" t="s">
        <v>143</v>
      </c>
      <c r="C61" s="4">
        <v>20.8</v>
      </c>
      <c r="D61" s="3" t="s">
        <v>27</v>
      </c>
      <c r="E61" s="3" t="s">
        <v>27</v>
      </c>
      <c r="F61" s="3" t="s">
        <v>27</v>
      </c>
      <c r="G61" s="3" t="s">
        <v>27</v>
      </c>
      <c r="H61" s="4">
        <v>427.64</v>
      </c>
      <c r="I61" s="8">
        <v>427.64</v>
      </c>
      <c r="J61" s="4">
        <v>23.65</v>
      </c>
      <c r="K61" s="4">
        <v>904.47</v>
      </c>
      <c r="L61" s="4">
        <v>20.56</v>
      </c>
      <c r="M61" s="3" t="s">
        <v>27</v>
      </c>
      <c r="N61" s="3" t="s">
        <v>27</v>
      </c>
      <c r="O61" s="8">
        <v>1308.46</v>
      </c>
      <c r="P61" s="8">
        <v>403.99</v>
      </c>
      <c r="Q61" s="8"/>
      <c r="R61" s="8">
        <v>94.47</v>
      </c>
      <c r="S61" s="4">
        <v>18.852</v>
      </c>
      <c r="T61" s="3" t="s">
        <v>27</v>
      </c>
      <c r="U61" s="4">
        <v>0.20300000000000001</v>
      </c>
      <c r="V61" s="4">
        <v>0.17100000000000001</v>
      </c>
      <c r="W61" s="3" t="s">
        <v>27</v>
      </c>
      <c r="X61" s="3" t="s">
        <v>27</v>
      </c>
      <c r="Y61" s="3" t="s">
        <v>27</v>
      </c>
    </row>
    <row r="62" spans="1:25" ht="25" customHeight="1" x14ac:dyDescent="0.15">
      <c r="A62" s="3" t="s">
        <v>144</v>
      </c>
      <c r="B62" s="3" t="s">
        <v>145</v>
      </c>
      <c r="C62" s="3" t="s">
        <v>27</v>
      </c>
      <c r="D62" s="3" t="s">
        <v>27</v>
      </c>
      <c r="E62" s="3" t="s">
        <v>27</v>
      </c>
      <c r="F62" s="3" t="s">
        <v>27</v>
      </c>
      <c r="G62" s="3" t="s">
        <v>27</v>
      </c>
      <c r="H62" s="4">
        <v>414.92</v>
      </c>
      <c r="I62" s="8">
        <v>414.92</v>
      </c>
      <c r="J62" s="4">
        <v>0.03</v>
      </c>
      <c r="K62" s="4">
        <v>1398.35</v>
      </c>
      <c r="L62" s="3" t="s">
        <v>27</v>
      </c>
      <c r="M62" s="3" t="s">
        <v>27</v>
      </c>
      <c r="N62" s="3" t="s">
        <v>27</v>
      </c>
      <c r="O62" s="8">
        <v>1813.24</v>
      </c>
      <c r="P62" s="8">
        <v>414.89</v>
      </c>
      <c r="Q62" s="8"/>
      <c r="R62" s="8">
        <v>99.992999999999995</v>
      </c>
      <c r="S62" s="4">
        <v>3.5979999999999999</v>
      </c>
      <c r="T62" s="3" t="s">
        <v>27</v>
      </c>
      <c r="U62" s="4">
        <v>0.19700000000000001</v>
      </c>
      <c r="V62" s="4">
        <v>0.16600000000000001</v>
      </c>
      <c r="W62" s="3" t="s">
        <v>27</v>
      </c>
      <c r="X62" s="3" t="s">
        <v>27</v>
      </c>
      <c r="Y62" s="5">
        <v>2074.4499999999998</v>
      </c>
    </row>
    <row r="63" spans="1:25" ht="25" customHeight="1" x14ac:dyDescent="0.15">
      <c r="A63" s="3" t="s">
        <v>146</v>
      </c>
      <c r="B63" s="3" t="s">
        <v>95</v>
      </c>
      <c r="C63" s="4">
        <v>4.95</v>
      </c>
      <c r="D63" s="3" t="s">
        <v>27</v>
      </c>
      <c r="E63" s="3" t="s">
        <v>27</v>
      </c>
      <c r="F63" s="3" t="s">
        <v>27</v>
      </c>
      <c r="G63" s="3" t="s">
        <v>27</v>
      </c>
      <c r="H63" s="4">
        <v>371.6</v>
      </c>
      <c r="I63" s="8">
        <v>371.6</v>
      </c>
      <c r="J63" s="4">
        <v>0.03</v>
      </c>
      <c r="K63" s="4">
        <v>3689.57</v>
      </c>
      <c r="L63" s="4">
        <v>75.070999999999998</v>
      </c>
      <c r="M63" s="3" t="s">
        <v>27</v>
      </c>
      <c r="N63" s="3" t="s">
        <v>27</v>
      </c>
      <c r="O63" s="8">
        <v>4061.14</v>
      </c>
      <c r="P63" s="8">
        <v>371.57</v>
      </c>
      <c r="Q63" s="8"/>
      <c r="R63" s="8">
        <v>99.992000000000004</v>
      </c>
      <c r="S63" s="4">
        <v>3.871</v>
      </c>
      <c r="T63" s="3" t="s">
        <v>27</v>
      </c>
      <c r="U63" s="4">
        <v>0.17699999999999999</v>
      </c>
      <c r="V63" s="4">
        <v>0.14899999999999999</v>
      </c>
      <c r="W63" s="3" t="s">
        <v>27</v>
      </c>
      <c r="X63" s="3" t="s">
        <v>27</v>
      </c>
      <c r="Y63" s="5">
        <v>1857.85</v>
      </c>
    </row>
    <row r="64" spans="1:25" ht="25" customHeight="1" x14ac:dyDescent="0.15">
      <c r="A64" s="3" t="s">
        <v>147</v>
      </c>
      <c r="B64" s="3" t="s">
        <v>148</v>
      </c>
      <c r="C64" s="4">
        <v>3.72</v>
      </c>
      <c r="D64" s="3" t="s">
        <v>27</v>
      </c>
      <c r="E64" s="3" t="s">
        <v>27</v>
      </c>
      <c r="F64" s="3" t="s">
        <v>27</v>
      </c>
      <c r="G64" s="3" t="s">
        <v>27</v>
      </c>
      <c r="H64" s="4">
        <v>324.04000000000002</v>
      </c>
      <c r="I64" s="8">
        <v>324.04000000000002</v>
      </c>
      <c r="J64" s="3" t="s">
        <v>27</v>
      </c>
      <c r="K64" s="3" t="s">
        <v>27</v>
      </c>
      <c r="L64" s="4">
        <v>87.108000000000004</v>
      </c>
      <c r="M64" s="3" t="s">
        <v>27</v>
      </c>
      <c r="N64" s="3" t="s">
        <v>27</v>
      </c>
      <c r="O64" s="9" t="s">
        <v>27</v>
      </c>
      <c r="P64" s="9" t="s">
        <v>27</v>
      </c>
      <c r="Q64" s="9"/>
      <c r="R64" s="9" t="s">
        <v>27</v>
      </c>
      <c r="S64" s="4">
        <v>3.2490000000000001</v>
      </c>
      <c r="T64" s="3" t="s">
        <v>27</v>
      </c>
      <c r="U64" s="4">
        <v>0.154</v>
      </c>
      <c r="V64" s="4">
        <v>0.13</v>
      </c>
      <c r="W64" s="3" t="s">
        <v>27</v>
      </c>
      <c r="X64" s="3" t="s">
        <v>27</v>
      </c>
      <c r="Y64" s="3" t="s">
        <v>27</v>
      </c>
    </row>
    <row r="65" spans="1:25" ht="25" customHeight="1" x14ac:dyDescent="0.15">
      <c r="A65" s="3" t="s">
        <v>149</v>
      </c>
      <c r="B65" s="3" t="s">
        <v>150</v>
      </c>
      <c r="C65" s="4">
        <v>20.8</v>
      </c>
      <c r="D65" s="3" t="s">
        <v>27</v>
      </c>
      <c r="E65" s="3" t="s">
        <v>27</v>
      </c>
      <c r="F65" s="3" t="s">
        <v>27</v>
      </c>
      <c r="G65" s="3" t="s">
        <v>27</v>
      </c>
      <c r="H65" s="4">
        <v>287.42</v>
      </c>
      <c r="I65" s="8">
        <v>287.42</v>
      </c>
      <c r="J65" s="4">
        <v>0.61</v>
      </c>
      <c r="K65" s="4">
        <v>1204.02</v>
      </c>
      <c r="L65" s="4">
        <v>13.818</v>
      </c>
      <c r="M65" s="3" t="s">
        <v>27</v>
      </c>
      <c r="N65" s="3" t="s">
        <v>27</v>
      </c>
      <c r="O65" s="8">
        <v>1490.83</v>
      </c>
      <c r="P65" s="8">
        <v>286.81</v>
      </c>
      <c r="Q65" s="8"/>
      <c r="R65" s="8">
        <v>99.787999999999997</v>
      </c>
      <c r="S65" s="4">
        <v>18.5</v>
      </c>
      <c r="T65" s="3" t="s">
        <v>27</v>
      </c>
      <c r="U65" s="4">
        <v>0.13700000000000001</v>
      </c>
      <c r="V65" s="4">
        <v>0.115</v>
      </c>
      <c r="W65" s="3" t="s">
        <v>27</v>
      </c>
      <c r="X65" s="3" t="s">
        <v>27</v>
      </c>
      <c r="Y65" s="3" t="s">
        <v>27</v>
      </c>
    </row>
    <row r="66" spans="1:25" ht="25" customHeight="1" x14ac:dyDescent="0.15">
      <c r="A66" s="3" t="s">
        <v>151</v>
      </c>
      <c r="B66" s="3" t="s">
        <v>152</v>
      </c>
      <c r="C66" s="4">
        <v>5.13</v>
      </c>
      <c r="D66" s="3" t="s">
        <v>27</v>
      </c>
      <c r="E66" s="3" t="s">
        <v>27</v>
      </c>
      <c r="F66" s="3" t="s">
        <v>27</v>
      </c>
      <c r="G66" s="3" t="s">
        <v>27</v>
      </c>
      <c r="H66" s="4">
        <v>9.5399999999999991</v>
      </c>
      <c r="I66" s="8">
        <v>9.5399999999999991</v>
      </c>
      <c r="J66" s="4">
        <v>1433.54</v>
      </c>
      <c r="K66" s="4">
        <v>3.99</v>
      </c>
      <c r="L66" s="4">
        <v>1.86</v>
      </c>
      <c r="M66" s="3" t="s">
        <v>27</v>
      </c>
      <c r="N66" s="3" t="s">
        <v>27</v>
      </c>
      <c r="O66" s="8">
        <v>0</v>
      </c>
      <c r="P66" s="8">
        <v>0</v>
      </c>
      <c r="Q66" s="8"/>
      <c r="R66" s="8">
        <v>0</v>
      </c>
      <c r="S66" s="4">
        <v>4.33</v>
      </c>
      <c r="T66" s="3" t="s">
        <v>27</v>
      </c>
      <c r="U66" s="4">
        <v>5.0000000000000001E-3</v>
      </c>
      <c r="V66" s="4">
        <v>4.0000000000000001E-3</v>
      </c>
      <c r="W66" s="3" t="s">
        <v>27</v>
      </c>
      <c r="X66" s="3" t="s">
        <v>27</v>
      </c>
      <c r="Y66" s="5">
        <v>12.1</v>
      </c>
    </row>
    <row r="67" spans="1:25" ht="25" customHeight="1" x14ac:dyDescent="0.15">
      <c r="A67" s="3" t="s">
        <v>153</v>
      </c>
      <c r="B67" s="3" t="s">
        <v>154</v>
      </c>
      <c r="C67" s="4">
        <v>10.16</v>
      </c>
      <c r="D67" s="3" t="s">
        <v>27</v>
      </c>
      <c r="E67" s="3" t="s">
        <v>27</v>
      </c>
      <c r="F67" s="3" t="s">
        <v>27</v>
      </c>
      <c r="G67" s="3" t="s">
        <v>27</v>
      </c>
      <c r="H67" s="4">
        <v>3.33</v>
      </c>
      <c r="I67" s="8">
        <v>3.33</v>
      </c>
      <c r="J67" s="4">
        <v>1.45</v>
      </c>
      <c r="K67" s="4">
        <v>0.57999999999999996</v>
      </c>
      <c r="L67" s="4">
        <v>0.32800000000000001</v>
      </c>
      <c r="M67" s="3" t="s">
        <v>27</v>
      </c>
      <c r="N67" s="3" t="s">
        <v>27</v>
      </c>
      <c r="O67" s="8">
        <v>2.46</v>
      </c>
      <c r="P67" s="8">
        <v>1.88</v>
      </c>
      <c r="Q67" s="8"/>
      <c r="R67" s="8">
        <v>56.456000000000003</v>
      </c>
      <c r="S67" s="4">
        <v>9.6590000000000007</v>
      </c>
      <c r="T67" s="3" t="s">
        <v>27</v>
      </c>
      <c r="U67" s="4">
        <v>2E-3</v>
      </c>
      <c r="V67" s="4">
        <v>1E-3</v>
      </c>
      <c r="W67" s="3" t="s">
        <v>27</v>
      </c>
      <c r="X67" s="3" t="s">
        <v>27</v>
      </c>
      <c r="Y67" s="3" t="s">
        <v>27</v>
      </c>
    </row>
    <row r="68" spans="1:25" ht="25" customHeight="1" x14ac:dyDescent="0.15">
      <c r="A68" s="3" t="s">
        <v>155</v>
      </c>
      <c r="B68" s="3" t="s">
        <v>156</v>
      </c>
      <c r="C68" s="4">
        <v>10.4</v>
      </c>
      <c r="D68" s="3" t="s">
        <v>27</v>
      </c>
      <c r="E68" s="3" t="s">
        <v>27</v>
      </c>
      <c r="F68" s="3" t="s">
        <v>27</v>
      </c>
      <c r="G68" s="3" t="s">
        <v>27</v>
      </c>
      <c r="H68" s="4">
        <v>0</v>
      </c>
      <c r="I68" s="8">
        <v>0</v>
      </c>
      <c r="J68" s="4">
        <v>0</v>
      </c>
      <c r="K68" s="4">
        <v>197.19</v>
      </c>
      <c r="L68" s="4">
        <v>0</v>
      </c>
      <c r="M68" s="3" t="s">
        <v>27</v>
      </c>
      <c r="N68" s="3" t="s">
        <v>27</v>
      </c>
      <c r="O68" s="8">
        <v>197.19</v>
      </c>
      <c r="P68" s="8">
        <v>0</v>
      </c>
      <c r="Q68" s="8"/>
      <c r="R68" s="9" t="s">
        <v>27</v>
      </c>
      <c r="S68" s="4">
        <v>0</v>
      </c>
      <c r="T68" s="3" t="s">
        <v>27</v>
      </c>
      <c r="U68" s="4">
        <v>0</v>
      </c>
      <c r="V68" s="4">
        <v>0</v>
      </c>
      <c r="W68" s="3" t="s">
        <v>27</v>
      </c>
      <c r="X68" s="3" t="s">
        <v>27</v>
      </c>
      <c r="Y68" s="3" t="s">
        <v>27</v>
      </c>
    </row>
    <row r="69" spans="1:25" ht="25" customHeight="1" x14ac:dyDescent="0.15">
      <c r="A69" s="3" t="s">
        <v>157</v>
      </c>
      <c r="B69" s="3" t="s">
        <v>158</v>
      </c>
      <c r="C69" s="3" t="s">
        <v>27</v>
      </c>
      <c r="D69" s="3" t="s">
        <v>27</v>
      </c>
      <c r="E69" s="3" t="s">
        <v>27</v>
      </c>
      <c r="F69" s="3" t="s">
        <v>27</v>
      </c>
      <c r="G69" s="3" t="s">
        <v>27</v>
      </c>
      <c r="H69" s="3" t="s">
        <v>27</v>
      </c>
      <c r="I69" s="9" t="s">
        <v>27</v>
      </c>
      <c r="J69" s="3" t="s">
        <v>27</v>
      </c>
      <c r="K69" s="3" t="s">
        <v>27</v>
      </c>
      <c r="L69" s="3" t="s">
        <v>27</v>
      </c>
      <c r="M69" s="3" t="s">
        <v>27</v>
      </c>
      <c r="N69" s="3" t="s">
        <v>27</v>
      </c>
      <c r="O69" s="9" t="s">
        <v>27</v>
      </c>
      <c r="P69" s="9" t="s">
        <v>27</v>
      </c>
      <c r="Q69" s="9"/>
      <c r="R69" s="9" t="s">
        <v>27</v>
      </c>
      <c r="S69" s="3" t="s">
        <v>27</v>
      </c>
      <c r="T69" s="3" t="s">
        <v>27</v>
      </c>
      <c r="U69" s="3" t="s">
        <v>27</v>
      </c>
      <c r="V69" s="3" t="s">
        <v>27</v>
      </c>
      <c r="W69" s="3" t="s">
        <v>27</v>
      </c>
      <c r="X69" s="3" t="s">
        <v>27</v>
      </c>
      <c r="Y69" s="3" t="s">
        <v>27</v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4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4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2006-09-13T11:21:51Z</dcterms:created>
  <dcterms:modified xsi:type="dcterms:W3CDTF">2026-05-06T09:40:33Z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(3)JzWfLto5opajSFaHB8t+T5C3GxZZcQTgNaXYuNK6hP4dbHqCHu0cipIMVNz8xH5CoiIwXVZQ
pV1gZOJPtz0U/luB0pTVgwnc9wnCr2P/FZxMKCxDgdpP6PdnJ1Y9d456DV7pvFnAcN71xudL
bCBCw5apCV2aXswfjKNTjf+HKmTM1j5spB+1+NPf8dnZcmfcXxUG/9agueIOD0xnMphX/po2
//GbA8enCVm4PHZ3F3</vt:lpwstr>
  </property>
  <property fmtid="{D5CDD505-2E9C-101B-9397-08002B2CF9AE}" pid="3" name="_2015_ms_pID_7253431">
    <vt:lpwstr>fwpFcfJ+084HBYM55yEmjyX+YotpqQiXirs0rTGS76NthEaPjggJhr
/udJRBQ/NwvCdHgOViTLcOzz/QVcpHx6jTm0UfWinY3pBSeIi7J6WcFZ5sO4hIDIusDjGkSu
hH//jssXvJvDFX1bkgfacGFp1xorFO6vTPcP7zZALA6xoW2muBxvgGplqBm36TxibOgCuFg1
Wub1NC+Qzsk2Eqbgjy2vdlcWKqWBqDcaGjXI</vt:lpwstr>
  </property>
  <property fmtid="{D5CDD505-2E9C-101B-9397-08002B2CF9AE}" pid="4" name="_2015_ms_pID_7253432">
    <vt:lpwstr>jA==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1719394317</vt:lpwstr>
  </property>
</Properties>
</file>